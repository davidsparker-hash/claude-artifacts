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Use of Funds" sheetId="2" state="visible" r:id="rId4"/>
    <sheet name="Funding Mechanism" sheetId="3" state="visible" r:id="rId5"/>
    <sheet name="Runway" sheetId="4" state="visible" r:id="rId6"/>
    <sheet name="Pricing Assumptions" sheetId="5" state="visible" r:id="rId7"/>
    <sheet name="Revenue Ramp" sheetId="6" state="visible" r:id="rId8"/>
    <sheet name="Return Math" sheetId="7" state="visible" r:id="rId9"/>
    <sheet name="Round &amp; Investor Cap" sheetId="8" state="visible" r:id="rId10"/>
    <sheet name="Valuation Basis" sheetId="9" state="visible" r:id="rId11"/>
    <sheet name="Benchmarks"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<sst xmlns="http://schemas.openxmlformats.org/spreadsheetml/2006/main" count="380" uniqueCount="336">
  <si>
    <t xml:space="preserve">ANONA / TENET</t>
  </si>
  <si>
    <t xml:space="preserve">Seed Round Investment Plan</t>
  </si>
  <si>
    <t xml:space="preserve">Prepared for investor + legal review  |  May 2026  |  Notes &amp; comparables refreshed June 2026 (no inputs changed)</t>
  </si>
  <si>
    <t xml:space="preserve">ROUND OVERVIEW</t>
  </si>
  <si>
    <t xml:space="preserve">Round</t>
  </si>
  <si>
    <t xml:space="preserve">Seed</t>
  </si>
  <si>
    <t xml:space="preserve">Target raise</t>
  </si>
  <si>
    <t xml:space="preserve">Primary target</t>
  </si>
  <si>
    <t xml:space="preserve">Floor</t>
  </si>
  <si>
    <t xml:space="preserve">Executes plan on tighter ~16-mo runway</t>
  </si>
  <si>
    <t xml:space="preserve">Ceiling</t>
  </si>
  <si>
    <t xml:space="preserve">Oversubscribed; extends toward 22 mo</t>
  </si>
  <si>
    <t xml:space="preserve">Runway target</t>
  </si>
  <si>
    <t xml:space="preserve">18–22 months</t>
  </si>
  <si>
    <t xml:space="preserve">To credible Series A</t>
  </si>
  <si>
    <t xml:space="preserve">Instrument</t>
  </si>
  <si>
    <t xml:space="preserve">TBD — see Funding Mechanism tab</t>
  </si>
  <si>
    <t xml:space="preserve">Bridge vs. accelerated first close</t>
  </si>
  <si>
    <t xml:space="preserve">USE OF FUNDS — $3.75M TARGET</t>
  </si>
  <si>
    <t xml:space="preserve">Allocation</t>
  </si>
  <si>
    <t xml:space="preserve">% of Raise</t>
  </si>
  <si>
    <t xml:space="preserve">Engineering &amp; infrastructure</t>
  </si>
  <si>
    <t xml:space="preserve">Design &amp; product</t>
  </si>
  <si>
    <t xml:space="preserve">Founder &amp; operations</t>
  </si>
  <si>
    <t xml:space="preserve">Brand &amp; strategy</t>
  </si>
  <si>
    <t xml:space="preserve">Brand build + strategy; thesis post-close</t>
  </si>
  <si>
    <t xml:space="preserve">Reserves / contingency</t>
  </si>
  <si>
    <t xml:space="preserve">~11% buffer to extend runway</t>
  </si>
  <si>
    <t xml:space="preserve">Total</t>
  </si>
  <si>
    <t xml:space="preserve">IMMEDIATE CAPITAL ASK (BRIDGE — FIRST 90 DAYS)</t>
  </si>
  <si>
    <t xml:space="preserve">Roger Obando — fractional CTO retainer</t>
  </si>
  <si>
    <t xml:space="preserve">$14K/mo × 3 months (bridge window)</t>
  </si>
  <si>
    <t xml:space="preserve">Immediate operating costs (legal, setup, infra)</t>
  </si>
  <si>
    <t xml:space="preserve">Estimate — refine on call</t>
  </si>
  <si>
    <t xml:space="preserve">Immediate ask total</t>
  </si>
  <si>
    <t xml:space="preserve">Bridge only: Roger + legal/setup. Operating plan funded by seed.</t>
  </si>
  <si>
    <t xml:space="preserve">Use of Funds — Detail</t>
  </si>
  <si>
    <t xml:space="preserve">Line-item breakdown supporting the $3.75M allocation</t>
  </si>
  <si>
    <t xml:space="preserve">Category / line item</t>
  </si>
  <si>
    <t xml:space="preserve">Amount</t>
  </si>
  <si>
    <t xml:space="preserve">Notes</t>
  </si>
  <si>
    <t xml:space="preserve">ENGINEERING &amp; INFRASTRUCTURE</t>
  </si>
  <si>
    <t xml:space="preserve">   Engineering Lead (senior, AI orchestration)</t>
  </si>
  <si>
    <t xml:space="preserve">Top hire priority — fully loaded yr1</t>
  </si>
  <si>
    <t xml:space="preserve">   Senior Frontend / Product Engineer (NLE-adjacent)</t>
  </si>
  <si>
    <t xml:space="preserve">Loaded yr1</t>
  </si>
  <si>
    <t xml:space="preserve">   Second engineer (from month 4–5)</t>
  </si>
  <si>
    <t xml:space="preserve">Partial-year</t>
  </si>
  <si>
    <t xml:space="preserve">   Cloud / GPU / model inference infra</t>
  </si>
  <si>
    <t xml:space="preserve">Generation + orchestration compute</t>
  </si>
  <si>
    <t xml:space="preserve">   Tooling, licenses, dev infrastructure</t>
  </si>
  <si>
    <t xml:space="preserve">   Fractional CTO / eng-lead seat (5 mo + held)</t>
  </si>
  <si>
    <t xml:space="preserve">Roger M1–5; hands off to full-time Eng Lead (recruit from month 3)</t>
  </si>
  <si>
    <t xml:space="preserve">   Engineering contingency</t>
  </si>
  <si>
    <t xml:space="preserve">Within engineering envelope</t>
  </si>
  <si>
    <t xml:space="preserve">   Subtotal</t>
  </si>
  <si>
    <t xml:space="preserve">DESIGN &amp; PRODUCT</t>
  </si>
  <si>
    <t xml:space="preserve">   Product Designer (multi-state UI / motion)</t>
  </si>
  <si>
    <t xml:space="preserve">   Design tooling &amp; prototyping</t>
  </si>
  <si>
    <t xml:space="preserve">   Product validation (test sessions, instrumentation)</t>
  </si>
  <si>
    <t xml:space="preserve">ANONA-run; JANE provides live jobs as anchor customer</t>
  </si>
  <si>
    <t xml:space="preserve">FOUNDER &amp; OPERATIONS</t>
  </si>
  <si>
    <t xml:space="preserve">   Founder compensation</t>
  </si>
  <si>
    <t xml:space="preserve">$20K/mo M1–3, $30K/mo M4–18</t>
  </si>
  <si>
    <t xml:space="preserve">   Legal, accounting, corporate formation</t>
  </si>
  <si>
    <t xml:space="preserve">Incl. round + ongoing counsel</t>
  </si>
  <si>
    <t xml:space="preserve">   Producer / Operations (full-time, day 15)</t>
  </si>
  <si>
    <t xml:space="preserve">$225K/yr loaded, full-time from day 15</t>
  </si>
  <si>
    <t xml:space="preserve">   Office / operations / misc.</t>
  </si>
  <si>
    <t xml:space="preserve">BRAND &amp; STRATEGY</t>
  </si>
  <si>
    <t xml:space="preserve">   Strategy (positioning, GTM, advisory team)</t>
  </si>
  <si>
    <t xml:space="preserve">Team supporting founder from day 15</t>
  </si>
  <si>
    <t xml:space="preserve">   Brand development (website, identity, system)</t>
  </si>
  <si>
    <t xml:space="preserve">Site, logo, design system; starts month 3</t>
  </si>
  <si>
    <t xml:space="preserve">RESERVES / CONTINGENCY</t>
  </si>
  <si>
    <t xml:space="preserve">   Unallocated reserve</t>
  </si>
  <si>
    <t xml:space="preserve">TOTAL RAISE</t>
  </si>
  <si>
    <t xml:space="preserve">Salary figures are fully-loaded yr1 estimates (incl. benefits/taxes). Headcount per Section 7 hiring plan.</t>
  </si>
  <si>
    <t xml:space="preserve">Funding Mechanism — Our Recommendation</t>
  </si>
  <si>
    <t xml:space="preserve">How we propose to fund the first 60–90 days while the full seed closes</t>
  </si>
  <si>
    <t xml:space="preserve">Option 1 — Bridge / Convertible Note</t>
  </si>
  <si>
    <t xml:space="preserve">Option 2 — Accelerated First Close</t>
  </si>
  <si>
    <t xml:space="preserve">What it is</t>
  </si>
  <si>
    <t xml:space="preserve">Short-term note covering immediate operating expenses; converts into the seed round at close.</t>
  </si>
  <si>
    <t xml:space="preserve">Pull a tranche of the seed forward to fund first 90 days; balance closes on normal timeline.</t>
  </si>
  <si>
    <t xml:space="preserve">Covers</t>
  </si>
  <si>
    <t xml:space="preserve">Covers Roger and immediate operating costs through close.</t>
  </si>
  <si>
    <t xml:space="preserve">Covers Roger plus first-90-day operations against the priced round.</t>
  </si>
  <si>
    <t xml:space="preserve">Speed to deploy</t>
  </si>
  <si>
    <t xml:space="preserve">Fast — note docs are lighter than full round close.</t>
  </si>
  <si>
    <t xml:space="preserve">Depends on first-close readiness; can be quick if leads are committed.</t>
  </si>
  <si>
    <t xml:space="preserve">Legal lift</t>
  </si>
  <si>
    <t xml:space="preserve">Lower upfront; note + cap/discount terms.</t>
  </si>
  <si>
    <t xml:space="preserve">Higher — requires priced/structured round docs sooner.</t>
  </si>
  <si>
    <t xml:space="preserve">Dilution clarity</t>
  </si>
  <si>
    <t xml:space="preserve">Deferred — converts later at cap/discount.</t>
  </si>
  <si>
    <t xml:space="preserve">Immediate — priced at close.</t>
  </si>
  <si>
    <t xml:space="preserve">Best when</t>
  </si>
  <si>
    <t xml:space="preserve">We use this to preserve momentum without locking full round terms before close.</t>
  </si>
  <si>
    <t xml:space="preserve">We use this when leads are ready to commit and prefer a single clean instrument.</t>
  </si>
  <si>
    <t xml:space="preserve">Why it fits here</t>
  </si>
  <si>
    <t xml:space="preserve">Fastest way to get the team operational and the build moving immediately.</t>
  </si>
  <si>
    <t xml:space="preserve">Cleanest cap-table outcome if the round prices on the near-term timeline.</t>
  </si>
  <si>
    <t xml:space="preserve">RECOMMENDED PATH</t>
  </si>
  <si>
    <t xml:space="preserve">We recommend a HYBRID: a short-term bridge note funds the first 90 days (Roger + legal/setup, ~$66K), then converts into the priced seed at the round close. This protects the start date without locking full round terms early. Note terms (cap, discount, conversion trigger) to be finalized with counsel — see below.</t>
  </si>
  <si>
    <t xml:space="preserve">BRIDGE SCOPE</t>
  </si>
  <si>
    <t xml:space="preserve">The bridge funds only Roger’s engagement (3 months) and legal/corporate setup (~$66K) during the 90-day window while the full seed closes. It does NOT fund the 18-month operating plan, team buildout, or infrastructure — those are funded by the seed itself.</t>
  </si>
  <si>
    <t xml:space="preserve">HYBRID TERMS (to finalize with counsel)</t>
  </si>
  <si>
    <t xml:space="preserve">Bridge amount</t>
  </si>
  <si>
    <t xml:space="preserve">~$66K (Roger 3 mo + legal/setup)</t>
  </si>
  <si>
    <t xml:space="preserve">Convertible note — TBD</t>
  </si>
  <si>
    <t xml:space="preserve">Conversion cap / discount</t>
  </si>
  <si>
    <t xml:space="preserve">TBD with counsel</t>
  </si>
  <si>
    <t xml:space="preserve">Conversion trigger</t>
  </si>
  <si>
    <t xml:space="preserve">Close of priced seed — TBD</t>
  </si>
  <si>
    <t xml:space="preserve">Exclusivity / timeline</t>
  </si>
  <si>
    <t xml:space="preserve">18-Month Runway — Illustrative Burn</t>
  </si>
  <si>
    <t xml:space="preserve">Simplified monthly view. Hiring ramps per Section 7. Refine on weekend call.</t>
  </si>
  <si>
    <t xml:space="preserve">($ per month)</t>
  </si>
  <si>
    <t xml:space="preserve">M1</t>
  </si>
  <si>
    <t xml:space="preserve">M2</t>
  </si>
  <si>
    <t xml:space="preserve">M3</t>
  </si>
  <si>
    <t xml:space="preserve">M4</t>
  </si>
  <si>
    <t xml:space="preserve">M5</t>
  </si>
  <si>
    <t xml:space="preserve">M6</t>
  </si>
  <si>
    <t xml:space="preserve">M7</t>
  </si>
  <si>
    <t xml:space="preserve">M8</t>
  </si>
  <si>
    <t xml:space="preserve">M9</t>
  </si>
  <si>
    <t xml:space="preserve">M10</t>
  </si>
  <si>
    <t xml:space="preserve">M11</t>
  </si>
  <si>
    <t xml:space="preserve">M12</t>
  </si>
  <si>
    <t xml:space="preserve">M13</t>
  </si>
  <si>
    <t xml:space="preserve">M14</t>
  </si>
  <si>
    <t xml:space="preserve">M15</t>
  </si>
  <si>
    <t xml:space="preserve">M16</t>
  </si>
  <si>
    <t xml:space="preserve">M17</t>
  </si>
  <si>
    <t xml:space="preserve">M18</t>
  </si>
  <si>
    <t xml:space="preserve">Founder</t>
  </si>
  <si>
    <t xml:space="preserve">Producer / Operations</t>
  </si>
  <si>
    <t xml:space="preserve">Eng Lead</t>
  </si>
  <si>
    <t xml:space="preserve">Sr Frontend Eng</t>
  </si>
  <si>
    <t xml:space="preserve">Second Eng</t>
  </si>
  <si>
    <t xml:space="preserve">Product Designer</t>
  </si>
  <si>
    <t xml:space="preserve">Eng-lead seat (Roger M1–5, then held)</t>
  </si>
  <si>
    <t xml:space="preserve">Infra / compute / tooling</t>
  </si>
  <si>
    <t xml:space="preserve">Legal / ops / misc</t>
  </si>
  <si>
    <t xml:space="preserve">Monthly burn</t>
  </si>
  <si>
    <t xml:space="preserve">Capital remaining</t>
  </si>
  <si>
    <t xml:space="preserve">Blue = input assumptions. Adjust monthly figures to model scenarios. Capital remaining stays positive across 18 months at $3.75M raise.</t>
  </si>
  <si>
    <t xml:space="preserve">Revenue Assumptions — inputs in blue</t>
  </si>
  <si>
    <t xml:space="preserve">Edit the blue cells to model scenarios. Everything on Revenue Ramp &amp; Return Math flows from here.</t>
  </si>
  <si>
    <t xml:space="preserve">PRICING</t>
  </si>
  <si>
    <t xml:space="preserve">Value</t>
  </si>
  <si>
    <t xml:space="preserve">Source / note</t>
  </si>
  <si>
    <t xml:space="preserve">Anchor / enterprise account ACV ($/month)</t>
  </si>
  <si>
    <t xml:space="preserve">INPUT — JANE-type studio contract. Verify vs. actual JANE terms.</t>
  </si>
  <si>
    <t xml:space="preserve">Self-serve seat price ($/month)</t>
  </si>
  <si>
    <t xml:space="preserve">INPUT — priced as production-grade. Benchmark: Magnific (ex-Freepik) individual tiers, repriced 2026 post-rebrand (Business plan launched early 2026); $79 sits above entry self-serve. Source: Magnific/Fortune, 2026.</t>
  </si>
  <si>
    <t xml:space="preserve">Usage / credits uplift (% of subscription)</t>
  </si>
  <si>
    <t xml:space="preserve">INPUT — add-on compute/credits, like Magnific's token model (~$0.32/image).</t>
  </si>
  <si>
    <t xml:space="preserve">RETURN ASSUMPTIONS</t>
  </si>
  <si>
    <t xml:space="preserve">Seed raise ($)</t>
  </si>
  <si>
    <t xml:space="preserve">From Summary tab — target round.</t>
  </si>
  <si>
    <t xml:space="preserve">Post-money valuation ($)</t>
  </si>
  <si>
    <t xml:space="preserve">INPUT — base case at market-standard ~20% dilution (AI-seed median, per Valuation Basis). Supported by four funded categories now entering the coordination layer (see Comparable Companies). $15M is the conservative downside.</t>
  </si>
  <si>
    <t xml:space="preserve">Ownership retained through dilution (%)</t>
  </si>
  <si>
    <t xml:space="preserve">INPUT — fraction of seed stake kept after future rounds to exit.</t>
  </si>
  <si>
    <t xml:space="preserve">Valuation multiple — conservative (x ARR)</t>
  </si>
  <si>
    <t xml:space="preserve">INPUT — low end for creative-AI / vertical SaaS.</t>
  </si>
  <si>
    <t xml:space="preserve">Valuation multiple — base (x ARR)</t>
  </si>
  <si>
    <t xml:space="preserve">INPUT — mid-teens. Frontier-model comp ElevenLabs ~22x ($11B / ~$500M ARR, Feb 2026); soberer coordination-layer comp Wrapbook ~$750M val on ~50% growth. Our 15x sits between. Source: TechCrunch / Hollywood Reporter, 2026.</t>
  </si>
  <si>
    <t xml:space="preserve">Valuation multiple — upside (x ARR)</t>
  </si>
  <si>
    <t xml:space="preserve">INPUT — high end for fast-growing creative-AI infra.</t>
  </si>
  <si>
    <t xml:space="preserve">18-Month Revenue Ramp — illustrative</t>
  </si>
  <si>
    <t xml:space="preserve">Enterprise-led, JANE-anchored. Counts in blue are inputs; revenue lines are formulas off Pricing Assumptions. Gross burn links live to the Runway tab.</t>
  </si>
  <si>
    <t xml:space="preserve">Anchor / enterprise accounts (#)</t>
  </si>
  <si>
    <t xml:space="preserve">Self-serve seats (#)</t>
  </si>
  <si>
    <t xml:space="preserve">Anchor MRR</t>
  </si>
  <si>
    <t xml:space="preserve">Self-serve subscription MRR</t>
  </si>
  <si>
    <t xml:space="preserve">Usage / credits MRR</t>
  </si>
  <si>
    <t xml:space="preserve">Total MRR</t>
  </si>
  <si>
    <t xml:space="preserve">Revenue (monthly)</t>
  </si>
  <si>
    <t xml:space="preserve">Gross burn (Runway tab)</t>
  </si>
  <si>
    <t xml:space="preserve">Net burn (burn − revenue)</t>
  </si>
  <si>
    <t xml:space="preserve">HEADLINE</t>
  </si>
  <si>
    <t xml:space="preserve">Exit-rate ARR (Month 18 MRR × 12)</t>
  </si>
  <si>
    <t xml:space="preserve">Cumulative revenue (18 mo)</t>
  </si>
  <si>
    <t xml:space="preserve">Total gross burn (18 mo)</t>
  </si>
  <si>
    <t xml:space="preserve">Revenue offset to burn</t>
  </si>
  <si>
    <t xml:space="preserve">First revenue month</t>
  </si>
  <si>
    <t xml:space="preserve">Return Math — what it takes to return your capital</t>
  </si>
  <si>
    <t xml:space="preserve">Think of it as a development pro forma: capital in → build the asset → asset has an exit value (ARR × multiple) → your return = stake value ÷ capital in.</t>
  </si>
  <si>
    <t xml:space="preserve">OWNERSHIP</t>
  </si>
  <si>
    <t xml:space="preserve">Seed raise</t>
  </si>
  <si>
    <t xml:space="preserve">Post-money valuation</t>
  </si>
  <si>
    <t xml:space="preserve">Seed ownership at close</t>
  </si>
  <si>
    <t xml:space="preserve">Ownership retained to exit</t>
  </si>
  <si>
    <t xml:space="preserve">Effective ownership at exit</t>
  </si>
  <si>
    <t xml:space="preserve">INVESTOR RETURN (MOIC) — exit ARR × valuation multiple</t>
  </si>
  <si>
    <t xml:space="preserve">Conservative</t>
  </si>
  <si>
    <t xml:space="preserve">Base (from ramp)</t>
  </si>
  <si>
    <t xml:space="preserve">Upside</t>
  </si>
  <si>
    <t xml:space="preserve">Exit ARR →</t>
  </si>
  <si>
    <t xml:space="preserve">Multiple ↓</t>
  </si>
  <si>
    <t xml:space="preserve">Conservative multiple</t>
  </si>
  <si>
    <t xml:space="preserve">Base multiple</t>
  </si>
  <si>
    <t xml:space="preserve">Upside multiple</t>
  </si>
  <si>
    <t xml:space="preserve">WHAT ARR DO WE NEED — at base multiple</t>
  </si>
  <si>
    <t xml:space="preserve">ARR needed to return 1.0x (capital back)</t>
  </si>
  <si>
    <t xml:space="preserve">ARR needed to return 3.0x</t>
  </si>
  <si>
    <t xml:space="preserve">ARR needed to return 5.0x</t>
  </si>
  <si>
    <t xml:space="preserve">For scale: the coordination-layer software market (production-mgmt incl. cost-tracking + collaboration) is ~$4.9B by 2030, growing ~9%/yr; the ARR above is ~0.1–0.3% of it. The broader category is proven — Magnific reached $230M ARR bootstrapped — but the serviceable target is the layer, not the generators.</t>
  </si>
  <si>
    <t xml:space="preserve">Round Construction — investor cap, minimum check, dilution at exit</t>
  </si>
  <si>
    <t xml:space="preserve">How many investors, how big each check, and what each stake is worth at exit after dilution ('watered-down'). Blue = inputs.</t>
  </si>
  <si>
    <t xml:space="preserve">ROUND INPUTS</t>
  </si>
  <si>
    <t xml:space="preserve">Minimum investment (check)</t>
  </si>
  <si>
    <t xml:space="preserve">Exit ARR (base)</t>
  </si>
  <si>
    <t xml:space="preserve">Exit valuation multiple (base)</t>
  </si>
  <si>
    <t xml:space="preserve">COMPUTED</t>
  </si>
  <si>
    <t xml:space="preserve">Seed ownership pool at close</t>
  </si>
  <si>
    <t xml:space="preserve">Pool ownership at exit (after dilution)</t>
  </si>
  <si>
    <t xml:space="preserve">Exit enterprise value (base)</t>
  </si>
  <si>
    <t xml:space="preserve">Maximum number of investors (cap)</t>
  </si>
  <si>
    <t xml:space="preserve">PER INVESTOR — at the minimum check</t>
  </si>
  <si>
    <t xml:space="preserve">Investment</t>
  </si>
  <si>
    <t xml:space="preserve">Ownership at close</t>
  </si>
  <si>
    <t xml:space="preserve">Ownership at exit (watered down)</t>
  </si>
  <si>
    <t xml:space="preserve">Stake value at exit (base)</t>
  </si>
  <si>
    <t xml:space="preserve">Gain at exit</t>
  </si>
  <si>
    <t xml:space="preserve">Return multiple (MOIC)</t>
  </si>
  <si>
    <t xml:space="preserve">ROUND SHAPE — by minimum check (watered-down at exit)</t>
  </si>
  <si>
    <t xml:space="preserve">Min check</t>
  </si>
  <si>
    <t xml:space="preserve">Max investors</t>
  </si>
  <si>
    <t xml:space="preserve">Own % at close</t>
  </si>
  <si>
    <t xml:space="preserve">Own % at exit</t>
  </si>
  <si>
    <t xml:space="preserve">Stake at exit</t>
  </si>
  <si>
    <t xml:space="preserve">MOIC</t>
  </si>
  <si>
    <t xml:space="preserve">MOIC is identical across check sizes — the cap and minimum decide how many investors and how big each stake, not the return. Watering-down is the dilution from 'own % at close' to 'own % at exit'.</t>
  </si>
  <si>
    <t xml:space="preserve">AGGREGATE — does it clear the expected return?</t>
  </si>
  <si>
    <t xml:space="preserve">Total invested (the round)</t>
  </si>
  <si>
    <t xml:space="preserve">Total investor stake at exit (base)</t>
  </si>
  <si>
    <t xml:space="preserve">If investors expect 3.0x, return 'owed'</t>
  </si>
  <si>
    <t xml:space="preserve">Base case covers the 3x expectation?</t>
  </si>
  <si>
    <t xml:space="preserve">OWNERSHIP AT CLOSE — FULLY DILUTED</t>
  </si>
  <si>
    <t xml:space="preserve">Holder</t>
  </si>
  <si>
    <t xml:space="preserve">New capital</t>
  </si>
  <si>
    <t xml:space="preserve">Ownership</t>
  </si>
  <si>
    <t xml:space="preserve">Founders</t>
  </si>
  <si>
    <t xml:space="preserve">—</t>
  </si>
  <si>
    <t xml:space="preserve">Option pool (unallocated)</t>
  </si>
  <si>
    <t xml:space="preserve">New seed investors</t>
  </si>
  <si>
    <t xml:space="preserve">    — of which bridge note (converts in)</t>
  </si>
  <si>
    <t xml:space="preserve">Option pool (blue) is carved from the pre-money, so it dilutes founders, not new investors — seed still holds ~19.7%. Bridge is a subset of the seed (converts at close), not additive.</t>
  </si>
  <si>
    <t xml:space="preserve">Valuation Basis — defending a current valuation</t>
  </si>
  <si>
    <t xml:space="preserve">A seed valuation is negotiated, not calculated — but two independent methods bracket a defensible range. Blue = our choices; black = 2025 market data.</t>
  </si>
  <si>
    <t xml:space="preserve">METHOD A — COMPARABLE SEED ROUNDS (2025 market data)</t>
  </si>
  <si>
    <t xml:space="preserve">Median seed post-money valuation</t>
  </si>
  <si>
    <t xml:space="preserve">Carta / SaaStr, 2025</t>
  </si>
  <si>
    <t xml:space="preserve">AI-software median seed post-money</t>
  </si>
  <si>
    <t xml:space="preserve">Carta / FutureSight, 2025 — AI premium vs ~$15M market</t>
  </si>
  <si>
    <t xml:space="preserve">Seed post-money — 25th percentile</t>
  </si>
  <si>
    <t xml:space="preserve">Carta, 2025</t>
  </si>
  <si>
    <t xml:space="preserve">Seed post-money — 95th percentile</t>
  </si>
  <si>
    <t xml:space="preserve">Carta, 2025 — hot AI deals stretch the top</t>
  </si>
  <si>
    <t xml:space="preserve">Median seed cash raised</t>
  </si>
  <si>
    <t xml:space="preserve">Carta, 2025 — our $3.75M is ~median</t>
  </si>
  <si>
    <t xml:space="preserve">Typical seed dilution</t>
  </si>
  <si>
    <t xml:space="preserve">Carta, 2025 — founders sell ~20%</t>
  </si>
  <si>
    <t xml:space="preserve">→ Post-money implied by our $3.75M at 20% dilution</t>
  </si>
  <si>
    <t xml:space="preserve">raise ÷ standard dilution</t>
  </si>
  <si>
    <t xml:space="preserve">METHOD B — FORWARD CROSS-CHECK (Series A, backward)</t>
  </si>
  <si>
    <t xml:space="preserve">Projected ARR at Series A (~Month 18)</t>
  </si>
  <si>
    <t xml:space="preserve">from Revenue Ramp</t>
  </si>
  <si>
    <t xml:space="preserve">Median Series A post-money (SaaS, 2025)</t>
  </si>
  <si>
    <t xml:space="preserve">Carta Q3 2025 — $45–60M range</t>
  </si>
  <si>
    <t xml:space="preserve">Median seed→Series A step-up</t>
  </si>
  <si>
    <t xml:space="preserve">→ Implied seed post (Series A ÷ step-up)</t>
  </si>
  <si>
    <t xml:space="preserve">DEFENSIBLE RANGE (post-money)</t>
  </si>
  <si>
    <t xml:space="preserve">Base</t>
  </si>
  <si>
    <t xml:space="preserve">Aggressive</t>
  </si>
  <si>
    <t xml:space="preserve">Dilution at $3.75M raise</t>
  </si>
  <si>
    <t xml:space="preserve">Conservative = investor-favorable (more dilution); Base ≈ AI-seed median at market-standard ~20% dilution; Aggressive = anchor + AI-native premium, still below the 95th percentile.</t>
  </si>
  <si>
    <t xml:space="preserve">WHAT IT MEANS FOR INVESTOR RETURN (base-case exit)</t>
  </si>
  <si>
    <t xml:space="preserve">Base-case exit enterprise value</t>
  </si>
  <si>
    <t xml:space="preserve">exit ARR × base multiple</t>
  </si>
  <si>
    <t xml:space="preserve">Investor MOIC at base-case exit</t>
  </si>
  <si>
    <t xml:space="preserve">The tension: a higher valuation means less dilution for you but a lower multiple for investors. At a market-standard ~$19M post, the base case returns ~2.3x; holding 3x+ at that valuation leans on the upside exit (higher ARR or multiple).</t>
  </si>
  <si>
    <t xml:space="preserve">RECOMMENDATION</t>
  </si>
  <si>
    <t xml:space="preserve">The data supports a $15M–$22M post-money. The model runs the base ~$19M (Pricing Assumptions C13) — the market-standard ~20% dilution and AI-seed median. To stress-test, switch C13 to the $15M conservative or $22M aggressive case and every return re-prices automatically.</t>
  </si>
  <si>
    <t xml:space="preserve">Negotiated, not computed. Market figures: Carta / SaaStr / FutureSight 2025. Not investment advice.</t>
  </si>
  <si>
    <t xml:space="preserve">Comparable proof points — the category is real</t>
  </si>
  <si>
    <t xml:space="preserve">Metric</t>
  </si>
  <si>
    <t xml:space="preserve">Figure</t>
  </si>
  <si>
    <t xml:space="preserve">Source</t>
  </si>
  <si>
    <t xml:space="preserve">Magnific (formerly Freepik) ARR</t>
  </si>
  <si>
    <t xml:space="preserve">$230M</t>
  </si>
  <si>
    <t xml:space="preserve">Fortune / TNW, 2026 — ~$230M ARR, bootstrapped; ~half from video post-rebrand</t>
  </si>
  <si>
    <t xml:space="preserve">Magnific paying subscribers</t>
  </si>
  <si>
    <t xml:space="preserve">1,000,000+</t>
  </si>
  <si>
    <t xml:space="preserve">TNW, 2026</t>
  </si>
  <si>
    <t xml:space="preserve">Magnific enterprise customers</t>
  </si>
  <si>
    <t xml:space="preserve">250+</t>
  </si>
  <si>
    <t xml:space="preserve">incl. BBC, Puma, Carl's Jr, Delivery Hero, R/GA, Amazon Prime Video. TNW, 2026</t>
  </si>
  <si>
    <t xml:space="preserve">Magnific images generated / day</t>
  </si>
  <si>
    <t xml:space="preserve">4,000,000+</t>
  </si>
  <si>
    <t xml:space="preserve">Magnific capital raised (VC)</t>
  </si>
  <si>
    <t xml:space="preserve">$0 (bootstrapped)</t>
  </si>
  <si>
    <t xml:space="preserve">TNW / Fortune, 2026</t>
  </si>
  <si>
    <t xml:space="preserve">Magnific model</t>
  </si>
  <si>
    <t xml:space="preserve">Model-agnostic orchestration layer</t>
  </si>
  <si>
    <t xml:space="preserve">dealflow.es, 2026 — aggregates 3rd-party AI models</t>
  </si>
  <si>
    <t xml:space="preserve">Magnific individual pricing</t>
  </si>
  <si>
    <t xml:space="preserve">~$39/mo; ~$0.32/image credits</t>
  </si>
  <si>
    <t xml:space="preserve">pangea.app, Feb 2026</t>
  </si>
  <si>
    <t xml:space="preserve">ElevenLabs (valuation anchor)</t>
  </si>
  <si>
    <t xml:space="preserve">$11B on ~$500M ARR (~22x)</t>
  </si>
  <si>
    <t xml:space="preserve">TechCrunch / CNBC, Feb 2026 — prior model note ($430M/25x) now superseded</t>
  </si>
  <si>
    <t xml:space="preserve">ANONA wedge vs. Magnific</t>
  </si>
  <si>
    <t xml:space="preserve">JANE-anchored production vertical</t>
  </si>
  <si>
    <t xml:space="preserve">Magnific is image-first, expanding to video — ANONA's edge is the live anchor customer + workflow depth</t>
  </si>
  <si>
    <t xml:space="preserve">Wrapbook (sober valuation comp)</t>
  </si>
  <si>
    <t xml:space="preserve">$750M val; ~50% YoY growth</t>
  </si>
  <si>
    <t xml:space="preserve">Hollywood Reporter / Tracxn, 2024–26 — production payroll + real-time cost tracking; closest functional analog</t>
  </si>
  <si>
    <t xml:space="preserve">monday.com (orchestration, public)</t>
  </si>
  <si>
    <t xml:space="preserve">$351M Q1’26 rev (+24% YoY)</t>
  </si>
  <si>
    <t xml:space="preserve">Q1 2026 earnings — AI ~10% of net-new ARR; work-OS pressing into the layer from above</t>
  </si>
  <si>
    <t xml:space="preserve">Adobe Firefly (enterprise suite)</t>
  </si>
  <si>
    <t xml:space="preserve">Firefly ARR +75% QoQ</t>
  </si>
  <si>
    <t xml:space="preserve">Adobe Q1 FY2026 call — + Frame.io (~$1.275B acq.); model-agnostic, converging from the suite side</t>
  </si>
  <si>
    <t xml:space="preserve">Coordination-layer SAM</t>
  </si>
  <si>
    <t xml:space="preserve">$2.73B (2023) → $4.90B (2030)</t>
  </si>
  <si>
    <t xml:space="preserve">360iResearch — M&amp;E production-mgmt software (incl. budgeting/cost-tracking + collaboration). 8.69% CAGR</t>
  </si>
  <si>
    <t xml:space="preserve">TENET base-case SOM</t>
  </si>
  <si>
    <t xml:space="preserve">~$5.4M ARR (~0.1% of SAM)</t>
  </si>
  <si>
    <t xml:space="preserve">ANONA model, this workbook — a sliver of the software layer, not the $255B production economy</t>
  </si>
  <si>
    <t xml:space="preserve">Note: figures are from public reporting as of June 2026; private/forecast values are self-reported or estimated. ANONA revenue figures in this model are illustrative inputs to be validated. Comparable-company detail also lives in the Competitive Comparison workbook.</t>
  </si>
</sst>
</file>

<file path=xl/styles.xml><?xml version="1.0" encoding="utf-8"?>
<styleSheet xmlns="http://schemas.openxmlformats.org/spreadsheetml/2006/main">
  <numFmts count="7">
    <numFmt numFmtId="164" formatCode="General"/>
    <numFmt numFmtId="165" formatCode="\$#,##0;&quot;($&quot;#,##0\);\-"/>
    <numFmt numFmtId="166" formatCode="0.0%;\(0.0%\);\-"/>
    <numFmt numFmtId="167" formatCode="0.0%"/>
    <numFmt numFmtId="168" formatCode="0.0\x"/>
    <numFmt numFmtId="169" formatCode="#,##0;\(#,##0\);\-"/>
    <numFmt numFmtId="170" formatCode="0.00%"/>
  </numFmts>
  <fonts count="32">
    <font>
      <sz val="11"/>
      <color theme="1"/>
      <name val="Calibri"/>
      <family val="2"/>
      <charset val="1"/>
    </font>
    <font>
      <sz val="10"/>
      <name val="Arial"/>
      <family val="0"/>
    </font>
    <font>
      <sz val="10"/>
      <name val="Arial"/>
      <family val="0"/>
    </font>
    <font>
      <sz val="10"/>
      <name val="Arial"/>
      <family val="0"/>
    </font>
    <font>
      <b val="true"/>
      <sz val="16"/>
      <color rgb="FF1A1A1A"/>
      <name val="Arial"/>
      <family val="0"/>
      <charset val="1"/>
    </font>
    <font>
      <b val="true"/>
      <sz val="12"/>
      <color rgb="FFBA7517"/>
      <name val="Arial"/>
      <family val="0"/>
      <charset val="1"/>
    </font>
    <font>
      <i val="true"/>
      <sz val="9"/>
      <color rgb="FF8A8A8A"/>
      <name val="Arial"/>
      <family val="0"/>
      <charset val="1"/>
    </font>
    <font>
      <b val="true"/>
      <sz val="11"/>
      <color rgb="FFFFFFFF"/>
      <name val="Arial"/>
      <family val="0"/>
      <charset val="1"/>
    </font>
    <font>
      <b val="true"/>
      <sz val="10"/>
      <color rgb="FF1A1A1A"/>
      <name val="Arial"/>
      <family val="0"/>
      <charset val="1"/>
    </font>
    <font>
      <sz val="10"/>
      <color rgb="FF000000"/>
      <name val="Arial"/>
      <family val="0"/>
      <charset val="1"/>
    </font>
    <font>
      <sz val="10"/>
      <color rgb="FF0000FF"/>
      <name val="Arial"/>
      <family val="0"/>
      <charset val="1"/>
    </font>
    <font>
      <sz val="10"/>
      <color rgb="FF1A1A1A"/>
      <name val="Arial"/>
      <family val="0"/>
      <charset val="1"/>
    </font>
    <font>
      <sz val="9"/>
      <color rgb="FF8A8A8A"/>
      <name val="Arial"/>
      <family val="0"/>
      <charset val="1"/>
    </font>
    <font>
      <b val="true"/>
      <sz val="10"/>
      <color rgb="FF000000"/>
      <name val="Arial"/>
      <family val="0"/>
      <charset val="1"/>
    </font>
    <font>
      <b val="true"/>
      <sz val="10"/>
      <color rgb="FFFFFFFF"/>
      <name val="Arial"/>
      <family val="0"/>
      <charset val="1"/>
    </font>
    <font>
      <sz val="10"/>
      <color rgb="FF8A8A8A"/>
      <name val="Arial"/>
      <family val="0"/>
      <charset val="1"/>
    </font>
    <font>
      <sz val="9"/>
      <color rgb="FF666666"/>
      <name val="Arial"/>
      <family val="0"/>
      <charset val="1"/>
    </font>
    <font>
      <sz val="10"/>
      <color rgb="FF666666"/>
      <name val="Arial"/>
      <family val="0"/>
      <charset val="1"/>
    </font>
    <font>
      <sz val="10"/>
      <color rgb="FF008000"/>
      <name val="Arial"/>
      <family val="0"/>
      <charset val="1"/>
    </font>
    <font>
      <b val="true"/>
      <sz val="11"/>
      <color rgb="FFBA7517"/>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9"/>
      <color rgb="FF666666"/>
      <name val="Arial"/>
      <family val="0"/>
      <charset val="1"/>
    </font>
    <font>
      <b val="true"/>
      <sz val="11"/>
      <color rgb="FF1A1A1A"/>
      <name val="Arial"/>
      <family val="0"/>
      <charset val="1"/>
    </font>
    <font>
      <i val="true"/>
      <sz val="10"/>
      <color rgb="FF666666"/>
      <name val="Arial"/>
      <family val="0"/>
      <charset val="1"/>
    </font>
    <font>
      <b val="true"/>
      <sz val="9"/>
      <color rgb="FF1A1A1A"/>
      <name val="Arial"/>
      <family val="0"/>
      <charset val="1"/>
    </font>
    <font>
      <sz val="8"/>
      <color rgb="FF666666"/>
      <name val="Arial"/>
      <family val="0"/>
      <charset val="1"/>
    </font>
    <font>
      <sz val="10"/>
      <color rgb="FF333333"/>
      <name val="Arial"/>
      <family val="0"/>
      <charset val="1"/>
    </font>
    <font>
      <sz val="11"/>
      <color rgb="FF1A1A1A"/>
      <name val="Arial"/>
      <family val="0"/>
      <charset val="1"/>
    </font>
    <font>
      <sz val="8"/>
      <color rgb="FF999999"/>
      <name val="Arial"/>
      <family val="0"/>
      <charset val="1"/>
    </font>
    <font>
      <i val="true"/>
      <sz val="9"/>
      <color rgb="FF999999"/>
      <name val="Arial"/>
      <family val="0"/>
      <charset val="1"/>
    </font>
  </fonts>
  <fills count="6">
    <fill>
      <patternFill patternType="none"/>
    </fill>
    <fill>
      <patternFill patternType="gray125"/>
    </fill>
    <fill>
      <patternFill patternType="solid">
        <fgColor rgb="FFBA7517"/>
        <bgColor rgb="FFFF6600"/>
      </patternFill>
    </fill>
    <fill>
      <patternFill patternType="solid">
        <fgColor rgb="FFF2F0EC"/>
        <bgColor rgb="FFFFFFFF"/>
      </patternFill>
    </fill>
    <fill>
      <patternFill patternType="solid">
        <fgColor rgb="FF1A1A1A"/>
        <bgColor rgb="FF333333"/>
      </patternFill>
    </fill>
    <fill>
      <patternFill patternType="solid">
        <fgColor rgb="FFFFFFCC"/>
        <bgColor rgb="FFFFFFFF"/>
      </patternFill>
    </fill>
  </fills>
  <borders count="3">
    <border diagonalUp="false" diagonalDown="false">
      <left/>
      <right/>
      <top/>
      <bottom/>
      <diagonal/>
    </border>
    <border diagonalUp="false" diagonalDown="false">
      <left/>
      <right/>
      <top style="thin">
        <color rgb="FF1A1A1A"/>
      </top>
      <bottom/>
      <diagonal/>
    </border>
    <border diagonalUp="false" diagonalDown="false">
      <left style="thin">
        <color rgb="FFD8D4CC"/>
      </left>
      <right style="thin">
        <color rgb="FFD8D4CC"/>
      </right>
      <top style="thin">
        <color rgb="FFD8D4CC"/>
      </top>
      <bottom style="thin">
        <color rgb="FFD8D4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right"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right" vertical="bottom" textRotation="0" wrapText="false" indent="0" shrinkToFit="false"/>
      <protection locked="true" hidden="false"/>
    </xf>
    <xf numFmtId="166" fontId="9" fillId="0" borderId="0" xfId="0" applyFont="true" applyBorder="false" applyAlignment="true" applyProtection="false">
      <alignment horizontal="right"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5" fontId="13" fillId="0" borderId="0" xfId="0" applyFont="true" applyBorder="false" applyAlignment="true" applyProtection="false">
      <alignment horizontal="right" vertical="bottom" textRotation="0" wrapText="false" indent="0" shrinkToFit="false"/>
      <protection locked="true" hidden="false"/>
    </xf>
    <xf numFmtId="166" fontId="13" fillId="0" borderId="0" xfId="0" applyFont="true" applyBorder="false" applyAlignment="true" applyProtection="false">
      <alignment horizontal="right"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5" fontId="13" fillId="0" borderId="1" xfId="0" applyFont="true" applyBorder="true" applyAlignment="true" applyProtection="false">
      <alignment horizontal="right" vertical="bottom" textRotation="0" wrapText="false" indent="0" shrinkToFit="false"/>
      <protection locked="true" hidden="false"/>
    </xf>
    <xf numFmtId="166" fontId="13" fillId="0" borderId="1" xfId="0" applyFont="true" applyBorder="true" applyAlignment="true" applyProtection="false">
      <alignment horizontal="right" vertical="bottom" textRotation="0" wrapText="false" indent="0" shrinkToFit="false"/>
      <protection locked="true" hidden="false"/>
    </xf>
    <xf numFmtId="165" fontId="9" fillId="0" borderId="0" xfId="0" applyFont="true" applyBorder="false" applyAlignment="true" applyProtection="false">
      <alignment horizontal="right" vertical="bottom" textRotation="0" wrapText="false" indent="0" shrinkToFit="false"/>
      <protection locked="true" hidden="false"/>
    </xf>
    <xf numFmtId="164" fontId="7" fillId="2" borderId="0" xfId="0" applyFont="true" applyBorder="false" applyAlignment="true" applyProtection="false">
      <alignment horizontal="right" vertical="center" textRotation="0" wrapText="false" indent="0" shrinkToFit="false"/>
      <protection locked="true" hidden="false"/>
    </xf>
    <xf numFmtId="164" fontId="8" fillId="3" borderId="0" xfId="0" applyFont="true" applyBorder="fals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6" fontId="9" fillId="0" borderId="0" xfId="0" applyFont="true" applyBorder="false" applyAlignment="tru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5" fontId="11" fillId="0" borderId="1" xfId="0" applyFont="true" applyBorder="true" applyAlignment="true" applyProtection="false">
      <alignment horizontal="right" vertical="bottom" textRotation="0" wrapText="false" indent="0" shrinkToFit="false"/>
      <protection locked="true" hidden="false"/>
    </xf>
    <xf numFmtId="166" fontId="11" fillId="0" borderId="1" xfId="0" applyFont="true" applyBorder="true" applyAlignment="true" applyProtection="false">
      <alignment horizontal="right" vertical="bottom" textRotation="0" wrapText="false" indent="0" shrinkToFit="false"/>
      <protection locked="true" hidden="false"/>
    </xf>
    <xf numFmtId="165" fontId="11" fillId="0" borderId="0" xfId="0" applyFont="true" applyBorder="false" applyAlignment="true" applyProtection="false">
      <alignment horizontal="right" vertical="bottom" textRotation="0" wrapText="false" indent="0" shrinkToFit="false"/>
      <protection locked="true" hidden="false"/>
    </xf>
    <xf numFmtId="166" fontId="11" fillId="0" borderId="0" xfId="0" applyFont="true" applyBorder="false" applyAlignment="true" applyProtection="false">
      <alignment horizontal="right" vertical="bottom" textRotation="0" wrapText="false" indent="0" shrinkToFit="false"/>
      <protection locked="true" hidden="false"/>
    </xf>
    <xf numFmtId="164" fontId="14" fillId="4" borderId="1" xfId="0" applyFont="true" applyBorder="true" applyAlignment="true" applyProtection="false">
      <alignment horizontal="general" vertical="bottom" textRotation="0" wrapText="false" indent="0" shrinkToFit="false"/>
      <protection locked="true" hidden="false"/>
    </xf>
    <xf numFmtId="165" fontId="14" fillId="4" borderId="1" xfId="0" applyFont="true" applyBorder="true" applyAlignment="true" applyProtection="false">
      <alignment horizontal="right" vertical="bottom" textRotation="0" wrapText="false" indent="0" shrinkToFit="false"/>
      <protection locked="true" hidden="false"/>
    </xf>
    <xf numFmtId="166" fontId="14" fillId="4" borderId="1" xfId="0" applyFont="true" applyBorder="true" applyAlignment="true" applyProtection="false">
      <alignment horizontal="right"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center" textRotation="0" wrapText="true" indent="0" shrinkToFit="false"/>
      <protection locked="true" hidden="false"/>
    </xf>
    <xf numFmtId="164" fontId="8" fillId="0" borderId="2" xfId="0" applyFont="true" applyBorder="true" applyAlignment="true" applyProtection="false">
      <alignment horizontal="left" vertical="top" textRotation="0" wrapText="true" indent="0" shrinkToFit="false"/>
      <protection locked="true" hidden="false"/>
    </xf>
    <xf numFmtId="164" fontId="9" fillId="0" borderId="2" xfId="0" applyFont="true" applyBorder="true" applyAlignment="true" applyProtection="false">
      <alignment horizontal="left"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7" fillId="2" borderId="0"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bottom" textRotation="0" wrapText="false" indent="0" shrinkToFit="false"/>
      <protection locked="true" hidden="false"/>
    </xf>
    <xf numFmtId="164" fontId="14" fillId="2" borderId="0" xfId="0" applyFont="true" applyBorder="false" applyAlignment="true" applyProtection="false">
      <alignment horizontal="general" vertical="bottom" textRotation="0" wrapText="false" indent="0" shrinkToFit="false"/>
      <protection locked="true" hidden="false"/>
    </xf>
    <xf numFmtId="164" fontId="14" fillId="2" borderId="0" xfId="0" applyFont="true" applyBorder="false" applyAlignment="true" applyProtection="false">
      <alignment horizontal="right"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5" fontId="10" fillId="5"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7" fontId="10" fillId="5" borderId="0" xfId="0" applyFont="true" applyBorder="false" applyAlignment="true" applyProtection="false">
      <alignment horizontal="general" vertical="bottom" textRotation="0" wrapText="false" indent="0" shrinkToFit="false"/>
      <protection locked="true" hidden="false"/>
    </xf>
    <xf numFmtId="168" fontId="10" fillId="5" borderId="0" xfId="0" applyFont="true" applyBorder="false" applyAlignment="true" applyProtection="false">
      <alignment horizontal="general" vertical="bottom" textRotation="0" wrapText="false" indent="0" shrinkToFit="false"/>
      <protection locked="true" hidden="false"/>
    </xf>
    <xf numFmtId="164" fontId="14" fillId="2" borderId="0" xfId="0" applyFont="true" applyBorder="false" applyAlignment="true" applyProtection="false">
      <alignment horizontal="center" vertical="bottom" textRotation="0" wrapText="false" indent="0" shrinkToFit="false"/>
      <protection locked="true" hidden="false"/>
    </xf>
    <xf numFmtId="169" fontId="10" fillId="5" borderId="0" xfId="0" applyFont="true" applyBorder="false" applyAlignment="true" applyProtection="false">
      <alignment horizontal="center" vertical="bottom" textRotation="0" wrapText="false" indent="0" shrinkToFit="false"/>
      <protection locked="true" hidden="false"/>
    </xf>
    <xf numFmtId="165" fontId="18" fillId="0" borderId="0" xfId="0" applyFont="true" applyBorder="false" applyAlignment="true" applyProtection="false">
      <alignment horizontal="general" vertical="bottom" textRotation="0" wrapText="false" indent="0" shrinkToFit="false"/>
      <protection locked="true" hidden="false"/>
    </xf>
    <xf numFmtId="165" fontId="8" fillId="3" borderId="0" xfId="0" applyFont="true" applyBorder="false" applyAlignment="true" applyProtection="false">
      <alignment horizontal="general" vertical="bottom" textRotation="0" wrapText="false" indent="0" shrinkToFit="false"/>
      <protection locked="true" hidden="false"/>
    </xf>
    <xf numFmtId="165" fontId="11"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5" fontId="19" fillId="0" borderId="0" xfId="0" applyFont="true" applyBorder="false" applyAlignment="true" applyProtection="false">
      <alignment horizontal="general" vertical="bottom" textRotation="0" wrapText="false" indent="0" shrinkToFit="false"/>
      <protection locked="true" hidden="false"/>
    </xf>
    <xf numFmtId="167" fontId="11"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7" fontId="18" fillId="0" borderId="0" xfId="0" applyFont="true" applyBorder="false" applyAlignment="tru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center" vertical="bottom" textRotation="0" wrapText="false" indent="0" shrinkToFit="false"/>
      <protection locked="true" hidden="false"/>
    </xf>
    <xf numFmtId="165" fontId="10" fillId="5" borderId="0" xfId="0" applyFont="true" applyBorder="false" applyAlignment="true" applyProtection="false">
      <alignment horizontal="center" vertical="bottom" textRotation="0" wrapText="false" indent="0" shrinkToFit="false"/>
      <protection locked="true" hidden="false"/>
    </xf>
    <xf numFmtId="165" fontId="18" fillId="0" borderId="0" xfId="0" applyFont="true" applyBorder="false" applyAlignment="true" applyProtection="false">
      <alignment horizontal="center" vertical="bottom" textRotation="0" wrapText="false" indent="0" shrinkToFit="false"/>
      <protection locked="true" hidden="false"/>
    </xf>
    <xf numFmtId="168" fontId="11" fillId="0" borderId="0" xfId="0" applyFont="true" applyBorder="false" applyAlignment="true" applyProtection="false">
      <alignment horizontal="center" vertical="bottom" textRotation="0" wrapText="false" indent="0" shrinkToFit="false"/>
      <protection locked="true" hidden="false"/>
    </xf>
    <xf numFmtId="168" fontId="16" fillId="0" borderId="0" xfId="0" applyFont="true" applyBorder="false" applyAlignment="true" applyProtection="false">
      <alignment horizontal="center" vertical="bottom" textRotation="0" wrapText="false" indent="0" shrinkToFit="false"/>
      <protection locked="true" hidden="false"/>
    </xf>
    <xf numFmtId="168" fontId="24" fillId="3" borderId="0" xfId="0" applyFont="true" applyBorder="false" applyAlignment="true" applyProtection="false">
      <alignment horizontal="center" vertical="bottom" textRotation="0" wrapText="fals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8" fontId="18" fillId="0" borderId="0" xfId="0" applyFont="true" applyBorder="false" applyAlignment="true" applyProtection="false">
      <alignment horizontal="general" vertical="bottom" textRotation="0" wrapText="false" indent="0" shrinkToFit="false"/>
      <protection locked="true" hidden="false"/>
    </xf>
    <xf numFmtId="169" fontId="19" fillId="0" borderId="0" xfId="0" applyFont="true" applyBorder="false" applyAlignment="true" applyProtection="false">
      <alignment horizontal="general" vertical="bottom" textRotation="0" wrapText="false" indent="0" shrinkToFit="false"/>
      <protection locked="true" hidden="false"/>
    </xf>
    <xf numFmtId="170" fontId="11" fillId="0" borderId="0" xfId="0" applyFont="true" applyBorder="false" applyAlignment="true" applyProtection="false">
      <alignment horizontal="general" vertical="bottom" textRotation="0" wrapText="false" indent="0" shrinkToFit="false"/>
      <protection locked="true" hidden="false"/>
    </xf>
    <xf numFmtId="170" fontId="8" fillId="0" borderId="0" xfId="0" applyFont="true" applyBorder="false" applyAlignment="true" applyProtection="false">
      <alignment horizontal="general" vertical="bottom" textRotation="0" wrapText="false" indent="0" shrinkToFit="false"/>
      <protection locked="true" hidden="false"/>
    </xf>
    <xf numFmtId="168" fontId="19" fillId="0" borderId="0" xfId="0" applyFont="true" applyBorder="false" applyAlignment="tru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center" vertical="bottom" textRotation="0" wrapText="false" indent="0" shrinkToFit="false"/>
      <protection locked="true" hidden="false"/>
    </xf>
    <xf numFmtId="169" fontId="11" fillId="0" borderId="0" xfId="0" applyFont="true" applyBorder="false" applyAlignment="true" applyProtection="false">
      <alignment horizontal="center" vertical="bottom" textRotation="0" wrapText="false" indent="0" shrinkToFit="false"/>
      <protection locked="true" hidden="false"/>
    </xf>
    <xf numFmtId="170" fontId="11" fillId="0" borderId="0" xfId="0" applyFont="true" applyBorder="false" applyAlignment="true" applyProtection="false">
      <alignment horizontal="center" vertical="bottom" textRotation="0" wrapText="false" indent="0" shrinkToFit="false"/>
      <protection locked="true" hidden="false"/>
    </xf>
    <xf numFmtId="165" fontId="11" fillId="0" borderId="0" xfId="0" applyFont="true" applyBorder="false" applyAlignment="true" applyProtection="false">
      <alignment horizontal="center" vertical="bottom" textRotation="0" wrapText="false" indent="0" shrinkToFit="false"/>
      <protection locked="true" hidden="false"/>
    </xf>
    <xf numFmtId="169" fontId="11" fillId="3" borderId="0" xfId="0" applyFont="true" applyBorder="false" applyAlignment="true" applyProtection="false">
      <alignment horizontal="center" vertical="bottom" textRotation="0" wrapText="false" indent="0" shrinkToFit="false"/>
      <protection locked="true" hidden="false"/>
    </xf>
    <xf numFmtId="170" fontId="11" fillId="3" borderId="0" xfId="0" applyFont="true" applyBorder="false" applyAlignment="true" applyProtection="false">
      <alignment horizontal="center" vertical="bottom" textRotation="0" wrapText="false" indent="0" shrinkToFit="false"/>
      <protection locked="true" hidden="false"/>
    </xf>
    <xf numFmtId="165" fontId="11" fillId="3" borderId="0" xfId="0" applyFont="true" applyBorder="false" applyAlignment="true" applyProtection="false">
      <alignment horizontal="center" vertical="bottom" textRotation="0" wrapText="false" indent="0" shrinkToFit="false"/>
      <protection locked="true" hidden="false"/>
    </xf>
    <xf numFmtId="168" fontId="11" fillId="3" borderId="0" xfId="0" applyFont="true" applyBorder="false" applyAlignment="true" applyProtection="false">
      <alignment horizontal="center" vertical="bottom"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center" vertical="bottom" textRotation="0" wrapText="false" indent="0" shrinkToFit="false"/>
      <protection locked="true" hidden="false"/>
    </xf>
    <xf numFmtId="167" fontId="11" fillId="0" borderId="0" xfId="0" applyFont="true" applyBorder="false" applyAlignment="true" applyProtection="false">
      <alignment horizontal="center" vertical="bottom" textRotation="0" wrapText="false" indent="0" shrinkToFit="false"/>
      <protection locked="true" hidden="false"/>
    </xf>
    <xf numFmtId="167" fontId="10" fillId="5" borderId="0" xfId="0" applyFont="true" applyBorder="false" applyAlignment="true" applyProtection="false">
      <alignment horizontal="center" vertical="bottom" textRotation="0" wrapText="false" indent="0" shrinkToFit="false"/>
      <protection locked="true" hidden="false"/>
    </xf>
    <xf numFmtId="165" fontId="8" fillId="3" borderId="0" xfId="0" applyFont="true" applyBorder="false" applyAlignment="true" applyProtection="false">
      <alignment horizontal="center" vertical="bottom" textRotation="0" wrapText="false" indent="0" shrinkToFit="false"/>
      <protection locked="true" hidden="false"/>
    </xf>
    <xf numFmtId="167" fontId="8" fillId="3" borderId="0" xfId="0" applyFont="true" applyBorder="false" applyAlignment="true" applyProtection="false">
      <alignment horizontal="center" vertical="bottom" textRotation="0" wrapText="false" indent="0" shrinkToFit="false"/>
      <protection locked="true" hidden="false"/>
    </xf>
    <xf numFmtId="168" fontId="11" fillId="0" borderId="0" xfId="0" applyFont="true" applyBorder="false" applyAlignment="tru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center" vertical="bottom" textRotation="0" wrapText="false" indent="0" shrinkToFit="false"/>
      <protection locked="true" hidden="false"/>
    </xf>
    <xf numFmtId="168" fontId="19" fillId="3" borderId="0" xfId="0" applyFont="true" applyBorder="false" applyAlignment="true" applyProtection="false">
      <alignment horizontal="center" vertical="bottom"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11" fillId="3" borderId="0" xfId="0" applyFont="true" applyBorder="false" applyAlignment="true" applyProtection="false">
      <alignment horizontal="general" vertical="bottom" textRotation="0" wrapText="false" indent="0" shrinkToFit="false"/>
      <protection locked="true" hidden="false"/>
    </xf>
    <xf numFmtId="164" fontId="17" fillId="3" borderId="0" xfId="0" applyFont="true" applyBorder="false" applyAlignment="true" applyProtection="false">
      <alignment horizontal="general" vertical="bottom" textRotation="0" wrapText="false" indent="0" shrinkToFit="false"/>
      <protection locked="true" hidden="false"/>
    </xf>
    <xf numFmtId="164" fontId="16" fillId="3"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A7517"/>
      <rgbColor rgb="FF800080"/>
      <rgbColor rgb="FF008080"/>
      <rgbColor rgb="FFB3B3B3"/>
      <rgbColor rgb="FF8A8A8A"/>
      <rgbColor rgb="FF9999FF"/>
      <rgbColor rgb="FF993366"/>
      <rgbColor rgb="FFFFFFCC"/>
      <rgbColor rgb="FFF2F0EC"/>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D8D4CC"/>
      <rgbColor rgb="FF3366FF"/>
      <rgbColor rgb="FF33CCCC"/>
      <rgbColor rgb="FF99CC00"/>
      <rgbColor rgb="FFFFCC00"/>
      <rgbColor rgb="FFFF9900"/>
      <rgbColor rgb="FFFF6600"/>
      <rgbColor rgb="FF666666"/>
      <rgbColor rgb="FF999999"/>
      <rgbColor rgb="FF003366"/>
      <rgbColor rgb="FF339966"/>
      <rgbColor rgb="FF003300"/>
      <rgbColor rgb="FF1A1A1A"/>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revenue ($/mo) — first revenue in Month 7</a:t>
            </a:r>
          </a:p>
        </c:rich>
      </c:tx>
      <c:overlay val="0"/>
      <c:spPr>
        <a:noFill/>
        <a:ln w="0">
          <a:noFill/>
        </a:ln>
      </c:spPr>
    </c:title>
    <c:autoTitleDeleted val="0"/>
    <c:plotArea>
      <c:lineChart>
        <c:grouping val="standard"/>
        <c:varyColors val="0"/>
        <c:ser>
          <c:idx val="0"/>
          <c:order val="0"/>
          <c:spPr>
            <a:solidFill>
              <a:srgbClr val="ba7517"/>
            </a:solidFill>
            <a:ln w="21960">
              <a:solidFill>
                <a:srgbClr val="ba7517"/>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Ramp'!$C$6:$T$6</c:f>
              <c:strCache>
                <c:ptCount val="18"/>
                <c:pt idx="0">
                  <c:v>M1</c:v>
                </c:pt>
                <c:pt idx="1">
                  <c:v>M2</c:v>
                </c:pt>
                <c:pt idx="2">
                  <c:v>M3</c:v>
                </c:pt>
                <c:pt idx="3">
                  <c:v>M4</c:v>
                </c:pt>
                <c:pt idx="4">
                  <c:v>M5</c:v>
                </c:pt>
                <c:pt idx="5">
                  <c:v>M6</c:v>
                </c:pt>
                <c:pt idx="6">
                  <c:v>M7</c:v>
                </c:pt>
                <c:pt idx="7">
                  <c:v>M8</c:v>
                </c:pt>
                <c:pt idx="8">
                  <c:v>M9</c:v>
                </c:pt>
                <c:pt idx="9">
                  <c:v>M10</c:v>
                </c:pt>
                <c:pt idx="10">
                  <c:v>M11</c:v>
                </c:pt>
                <c:pt idx="11">
                  <c:v>M12</c:v>
                </c:pt>
                <c:pt idx="12">
                  <c:v>M13</c:v>
                </c:pt>
                <c:pt idx="13">
                  <c:v>M14</c:v>
                </c:pt>
                <c:pt idx="14">
                  <c:v>M15</c:v>
                </c:pt>
                <c:pt idx="15">
                  <c:v>M16</c:v>
                </c:pt>
                <c:pt idx="16">
                  <c:v>M17</c:v>
                </c:pt>
                <c:pt idx="17">
                  <c:v>M18</c:v>
                </c:pt>
              </c:strCache>
            </c:strRef>
          </c:cat>
          <c:val>
            <c:numRef>
              <c:f>'Revenue Ramp'!$C$13:$T$13</c:f>
              <c:numCache>
                <c:formatCode>\$#,##0;"($"#,##0\);\-</c:formatCode>
                <c:ptCount val="18"/>
                <c:pt idx="0">
                  <c:v>0</c:v>
                </c:pt>
                <c:pt idx="1">
                  <c:v>0</c:v>
                </c:pt>
                <c:pt idx="2">
                  <c:v>0</c:v>
                </c:pt>
                <c:pt idx="3">
                  <c:v>0</c:v>
                </c:pt>
                <c:pt idx="4">
                  <c:v>0</c:v>
                </c:pt>
                <c:pt idx="5">
                  <c:v>0</c:v>
                </c:pt>
                <c:pt idx="6">
                  <c:v>25000</c:v>
                </c:pt>
                <c:pt idx="7">
                  <c:v>25000</c:v>
                </c:pt>
                <c:pt idx="8">
                  <c:v>52468.75</c:v>
                </c:pt>
                <c:pt idx="9">
                  <c:v>80925</c:v>
                </c:pt>
                <c:pt idx="10">
                  <c:v>111850</c:v>
                </c:pt>
                <c:pt idx="11">
                  <c:v>144750</c:v>
                </c:pt>
                <c:pt idx="12">
                  <c:v>181600</c:v>
                </c:pt>
                <c:pt idx="13">
                  <c:v>222400</c:v>
                </c:pt>
                <c:pt idx="14">
                  <c:v>267150</c:v>
                </c:pt>
                <c:pt idx="15">
                  <c:v>315850</c:v>
                </c:pt>
                <c:pt idx="16">
                  <c:v>368500</c:v>
                </c:pt>
                <c:pt idx="17">
                  <c:v>448125</c:v>
                </c:pt>
              </c:numCache>
            </c:numRef>
          </c:val>
          <c:smooth val="1"/>
        </c:ser>
        <c:hiLowLines>
          <c:spPr>
            <a:ln w="0">
              <a:noFill/>
            </a:ln>
          </c:spPr>
        </c:hiLowLines>
        <c:marker val="0"/>
        <c:axId val="72893961"/>
        <c:axId val="89776566"/>
      </c:lineChart>
      <c:catAx>
        <c:axId val="7289396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Month</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89776566"/>
        <c:crosses val="autoZero"/>
        <c:auto val="1"/>
        <c:lblAlgn val="ctr"/>
        <c:lblOffset val="100"/>
        <c:noMultiLvlLbl val="0"/>
      </c:catAx>
      <c:valAx>
        <c:axId val="89776566"/>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$/month</a:t>
                </a:r>
              </a:p>
            </c:rich>
          </c:tx>
          <c:overlay val="0"/>
          <c:spPr>
            <a:noFill/>
            <a:ln w="0">
              <a:noFill/>
            </a:ln>
          </c:spPr>
        </c:title>
        <c:numFmt formatCode="\$#,##0;&quot;($&quot;#,##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289396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24</xdr:row>
      <xdr:rowOff>0</xdr:rowOff>
    </xdr:from>
    <xdr:to>
      <xdr:col>7</xdr:col>
      <xdr:colOff>557640</xdr:colOff>
      <xdr:row>37</xdr:row>
      <xdr:rowOff>41760</xdr:rowOff>
    </xdr:to>
    <xdr:graphicFrame>
      <xdr:nvGraphicFramePr>
        <xdr:cNvPr id="0" name="Chart 1"/>
        <xdr:cNvGraphicFramePr/>
      </xdr:nvGraphicFramePr>
      <xdr:xfrm>
        <a:off x="141120" y="4629240"/>
        <a:ext cx="6478200" cy="2518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4"/>
    <col collapsed="false" customWidth="true" hidden="false" outlineLevel="0" max="3" min="3" style="1" width="16"/>
    <col collapsed="false" customWidth="true" hidden="false" outlineLevel="0" max="4" min="4" style="1" width="14"/>
    <col collapsed="false" customWidth="true" hidden="false" outlineLevel="0" max="5" min="5" style="1" width="16"/>
    <col collapsed="false" customWidth="true" hidden="false" outlineLevel="0" max="6" min="6" style="1" width="30"/>
    <col collapsed="false" customWidth="true" hidden="false" outlineLevel="0" max="7" min="7" style="1" width="2"/>
  </cols>
  <sheetData>
    <row r="2" customFormat="false" ht="19.5" hidden="false" customHeight="true" outlineLevel="0" collapsed="false">
      <c r="B2" s="2" t="s">
        <v>0</v>
      </c>
    </row>
    <row r="3" customFormat="false" ht="15" hidden="false" customHeight="true" outlineLevel="0" collapsed="false">
      <c r="B3" s="3" t="s">
        <v>1</v>
      </c>
    </row>
    <row r="4" customFormat="false" ht="15" hidden="false" customHeight="true" outlineLevel="0" collapsed="false">
      <c r="B4" s="4" t="s">
        <v>2</v>
      </c>
    </row>
    <row r="6" customFormat="false" ht="15" hidden="false" customHeight="true" outlineLevel="0" collapsed="false">
      <c r="B6" s="5" t="s">
        <v>3</v>
      </c>
      <c r="C6" s="5"/>
      <c r="D6" s="5"/>
      <c r="E6" s="5"/>
      <c r="F6" s="5"/>
    </row>
    <row r="7" customFormat="false" ht="15" hidden="false" customHeight="true" outlineLevel="0" collapsed="false">
      <c r="B7" s="6" t="s">
        <v>4</v>
      </c>
      <c r="C7" s="7" t="s">
        <v>5</v>
      </c>
    </row>
    <row r="8" customFormat="false" ht="15" hidden="false" customHeight="true" outlineLevel="0" collapsed="false">
      <c r="B8" s="6" t="s">
        <v>6</v>
      </c>
      <c r="C8" s="8" t="n">
        <v>3750000</v>
      </c>
      <c r="F8" s="4" t="s">
        <v>7</v>
      </c>
    </row>
    <row r="9" customFormat="false" ht="15" hidden="false" customHeight="true" outlineLevel="0" collapsed="false">
      <c r="B9" s="6" t="s">
        <v>8</v>
      </c>
      <c r="C9" s="8" t="n">
        <v>3500000</v>
      </c>
      <c r="F9" s="4" t="s">
        <v>9</v>
      </c>
    </row>
    <row r="10" customFormat="false" ht="15" hidden="false" customHeight="true" outlineLevel="0" collapsed="false">
      <c r="B10" s="6" t="s">
        <v>10</v>
      </c>
      <c r="C10" s="8" t="n">
        <v>4500000</v>
      </c>
      <c r="F10" s="4" t="s">
        <v>11</v>
      </c>
    </row>
    <row r="11" customFormat="false" ht="15" hidden="false" customHeight="true" outlineLevel="0" collapsed="false">
      <c r="B11" s="6" t="s">
        <v>12</v>
      </c>
      <c r="C11" s="7" t="s">
        <v>13</v>
      </c>
      <c r="F11" s="4" t="s">
        <v>14</v>
      </c>
    </row>
    <row r="12" customFormat="false" ht="15" hidden="false" customHeight="true" outlineLevel="0" collapsed="false">
      <c r="B12" s="6" t="s">
        <v>15</v>
      </c>
      <c r="C12" s="7" t="s">
        <v>16</v>
      </c>
      <c r="F12" s="4" t="s">
        <v>17</v>
      </c>
    </row>
    <row r="15" customFormat="false" ht="15" hidden="false" customHeight="true" outlineLevel="0" collapsed="false">
      <c r="B15" s="5" t="s">
        <v>18</v>
      </c>
      <c r="C15" s="9" t="s">
        <v>19</v>
      </c>
      <c r="D15" s="9" t="s">
        <v>20</v>
      </c>
      <c r="E15" s="5"/>
      <c r="F15" s="5"/>
    </row>
    <row r="16" customFormat="false" ht="15" hidden="false" customHeight="true" outlineLevel="0" collapsed="false">
      <c r="B16" s="10" t="s">
        <v>21</v>
      </c>
      <c r="C16" s="11" t="n">
        <v>1800000</v>
      </c>
      <c r="D16" s="12" t="n">
        <f aca="false">C16/$C$21</f>
        <v>0.48</v>
      </c>
    </row>
    <row r="17" customFormat="false" ht="15" hidden="false" customHeight="true" outlineLevel="0" collapsed="false">
      <c r="B17" s="10" t="s">
        <v>22</v>
      </c>
      <c r="C17" s="11" t="n">
        <v>400000</v>
      </c>
      <c r="D17" s="12" t="n">
        <f aca="false">C17/$C$21</f>
        <v>0.106666666666667</v>
      </c>
    </row>
    <row r="18" customFormat="false" ht="15" hidden="false" customHeight="true" outlineLevel="0" collapsed="false">
      <c r="B18" s="10" t="s">
        <v>23</v>
      </c>
      <c r="C18" s="11" t="n">
        <v>735000</v>
      </c>
      <c r="D18" s="12" t="n">
        <f aca="false">C18/$C$21</f>
        <v>0.196</v>
      </c>
    </row>
    <row r="19" customFormat="false" ht="15" hidden="false" customHeight="true" outlineLevel="0" collapsed="false">
      <c r="B19" s="10" t="s">
        <v>24</v>
      </c>
      <c r="C19" s="11" t="n">
        <v>396000</v>
      </c>
      <c r="D19" s="12" t="n">
        <f aca="false">C19/$C$21</f>
        <v>0.1056</v>
      </c>
      <c r="F19" s="13" t="s">
        <v>25</v>
      </c>
    </row>
    <row r="20" customFormat="false" ht="15" hidden="false" customHeight="true" outlineLevel="0" collapsed="false">
      <c r="B20" s="10" t="s">
        <v>26</v>
      </c>
      <c r="C20" s="11" t="n">
        <v>419000</v>
      </c>
      <c r="D20" s="12" t="n">
        <f aca="false">C20/$C$21</f>
        <v>0.111733333333333</v>
      </c>
      <c r="F20" s="13" t="s">
        <v>27</v>
      </c>
    </row>
    <row r="21" customFormat="false" ht="15" hidden="false" customHeight="true" outlineLevel="0" collapsed="false">
      <c r="B21" s="6" t="s">
        <v>28</v>
      </c>
      <c r="C21" s="14" t="n">
        <f aca="false">SUM(C16:C20)</f>
        <v>3750000</v>
      </c>
      <c r="D21" s="15" t="n">
        <f aca="false">C21/$C$21</f>
        <v>1</v>
      </c>
    </row>
    <row r="22" customFormat="false" ht="15" hidden="false" customHeight="true" outlineLevel="0" collapsed="false">
      <c r="B22" s="16"/>
      <c r="C22" s="17"/>
      <c r="D22" s="18"/>
    </row>
    <row r="25" customFormat="false" ht="15" hidden="false" customHeight="true" outlineLevel="0" collapsed="false">
      <c r="B25" s="5" t="s">
        <v>29</v>
      </c>
      <c r="C25" s="5"/>
      <c r="D25" s="5"/>
      <c r="E25" s="5"/>
      <c r="F25" s="5"/>
    </row>
    <row r="26" customFormat="false" ht="15" hidden="false" customHeight="true" outlineLevel="0" collapsed="false">
      <c r="B26" s="10" t="s">
        <v>30</v>
      </c>
      <c r="C26" s="19" t="n">
        <f aca="false">14000*3</f>
        <v>42000</v>
      </c>
      <c r="F26" s="4" t="s">
        <v>31</v>
      </c>
    </row>
    <row r="27" customFormat="false" ht="15" hidden="false" customHeight="true" outlineLevel="0" collapsed="false">
      <c r="B27" s="10" t="s">
        <v>32</v>
      </c>
      <c r="C27" s="11" t="n">
        <v>24000</v>
      </c>
      <c r="F27" s="4" t="s">
        <v>33</v>
      </c>
    </row>
    <row r="28" customFormat="false" ht="15" hidden="false" customHeight="true" outlineLevel="0" collapsed="false">
      <c r="B28" s="16" t="s">
        <v>34</v>
      </c>
      <c r="C28" s="17" t="n">
        <f aca="false">SUM(C26:C27)</f>
        <v>66000</v>
      </c>
      <c r="F28" s="13"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8"/>
    <col collapsed="false" customWidth="true" hidden="false" outlineLevel="0" max="3" min="3" style="1" width="15"/>
    <col collapsed="false" customWidth="true" hidden="false" outlineLevel="0" max="4" min="4" style="1" width="12"/>
    <col collapsed="false" customWidth="true" hidden="false" outlineLevel="0" max="5" min="5" style="1" width="40"/>
  </cols>
  <sheetData>
    <row r="2" customFormat="false" ht="19.5" hidden="false" customHeight="true" outlineLevel="0" collapsed="false">
      <c r="B2" s="2" t="s">
        <v>36</v>
      </c>
    </row>
    <row r="3" customFormat="false" ht="15" hidden="false" customHeight="true" outlineLevel="0" collapsed="false">
      <c r="B3" s="4" t="s">
        <v>37</v>
      </c>
    </row>
    <row r="5" customFormat="false" ht="15" hidden="false" customHeight="true" outlineLevel="0" collapsed="false">
      <c r="B5" s="5" t="s">
        <v>38</v>
      </c>
      <c r="C5" s="20" t="s">
        <v>39</v>
      </c>
      <c r="D5" s="20" t="s">
        <v>20</v>
      </c>
      <c r="E5" s="20" t="s">
        <v>40</v>
      </c>
    </row>
    <row r="6" customFormat="false" ht="15" hidden="false" customHeight="true" outlineLevel="0" collapsed="false">
      <c r="B6" s="21" t="s">
        <v>41</v>
      </c>
      <c r="C6" s="22"/>
      <c r="D6" s="22"/>
      <c r="E6" s="22"/>
    </row>
    <row r="7" customFormat="false" ht="15" hidden="false" customHeight="true" outlineLevel="0" collapsed="false">
      <c r="B7" s="10" t="s">
        <v>42</v>
      </c>
      <c r="C7" s="11" t="n">
        <v>320000</v>
      </c>
      <c r="D7" s="12" t="n">
        <f aca="false">C7/$C$41</f>
        <v>0.0853333333333333</v>
      </c>
      <c r="E7" s="4" t="s">
        <v>43</v>
      </c>
    </row>
    <row r="8" customFormat="false" ht="15" hidden="false" customHeight="true" outlineLevel="0" collapsed="false">
      <c r="B8" s="10" t="s">
        <v>44</v>
      </c>
      <c r="C8" s="11" t="n">
        <v>260000</v>
      </c>
      <c r="D8" s="12" t="n">
        <f aca="false">C8/$C$41</f>
        <v>0.0693333333333333</v>
      </c>
      <c r="E8" s="4" t="s">
        <v>45</v>
      </c>
    </row>
    <row r="9" customFormat="false" ht="15" hidden="false" customHeight="true" outlineLevel="0" collapsed="false">
      <c r="B9" s="10" t="s">
        <v>46</v>
      </c>
      <c r="C9" s="11" t="n">
        <v>200000</v>
      </c>
      <c r="D9" s="12" t="n">
        <f aca="false">C9/$C$41</f>
        <v>0.0533333333333333</v>
      </c>
      <c r="E9" s="4" t="s">
        <v>47</v>
      </c>
    </row>
    <row r="10" customFormat="false" ht="15" hidden="false" customHeight="true" outlineLevel="0" collapsed="false">
      <c r="B10" s="10" t="s">
        <v>48</v>
      </c>
      <c r="C10" s="11" t="n">
        <v>480000</v>
      </c>
      <c r="D10" s="12" t="n">
        <f aca="false">C10/$C$41</f>
        <v>0.128</v>
      </c>
      <c r="E10" s="4" t="s">
        <v>49</v>
      </c>
    </row>
    <row r="11" customFormat="false" ht="15" hidden="false" customHeight="true" outlineLevel="0" collapsed="false">
      <c r="B11" s="10" t="s">
        <v>50</v>
      </c>
      <c r="C11" s="11" t="n">
        <v>140000</v>
      </c>
      <c r="D11" s="12" t="n">
        <f aca="false">C11/$C$41</f>
        <v>0.0373333333333333</v>
      </c>
    </row>
    <row r="12" customFormat="false" ht="15" hidden="false" customHeight="true" outlineLevel="0" collapsed="false">
      <c r="B12" s="10" t="s">
        <v>51</v>
      </c>
      <c r="C12" s="11" t="n">
        <v>70000</v>
      </c>
      <c r="D12" s="12" t="n">
        <f aca="false">C12/$C$41</f>
        <v>0.0186666666666667</v>
      </c>
      <c r="E12" s="4" t="s">
        <v>52</v>
      </c>
    </row>
    <row r="13" customFormat="false" ht="15" hidden="false" customHeight="true" outlineLevel="0" collapsed="false">
      <c r="B13" s="10" t="s">
        <v>53</v>
      </c>
      <c r="C13" s="11" t="n">
        <v>330000</v>
      </c>
      <c r="D13" s="12" t="n">
        <f aca="false">C13/$C$41</f>
        <v>0.088</v>
      </c>
      <c r="E13" s="4" t="s">
        <v>54</v>
      </c>
    </row>
    <row r="14" customFormat="false" ht="15" hidden="false" customHeight="true" outlineLevel="0" collapsed="false">
      <c r="B14" s="16" t="s">
        <v>55</v>
      </c>
      <c r="C14" s="17" t="n">
        <f aca="false">SUM(C7:C13)</f>
        <v>1800000</v>
      </c>
      <c r="D14" s="18" t="n">
        <f aca="false">C14/$C$41</f>
        <v>0.48</v>
      </c>
    </row>
    <row r="16" customFormat="false" ht="15" hidden="false" customHeight="true" outlineLevel="0" collapsed="false">
      <c r="B16" s="21" t="s">
        <v>56</v>
      </c>
      <c r="C16" s="22"/>
      <c r="D16" s="22"/>
      <c r="E16" s="22"/>
    </row>
    <row r="17" customFormat="false" ht="15" hidden="false" customHeight="true" outlineLevel="0" collapsed="false">
      <c r="B17" s="10" t="s">
        <v>57</v>
      </c>
      <c r="C17" s="11" t="n">
        <v>280000</v>
      </c>
      <c r="D17" s="12" t="n">
        <f aca="false">C17/$C$41</f>
        <v>0.0746666666666667</v>
      </c>
      <c r="E17" s="4" t="s">
        <v>45</v>
      </c>
    </row>
    <row r="18" customFormat="false" ht="15" hidden="false" customHeight="true" outlineLevel="0" collapsed="false">
      <c r="B18" s="10" t="s">
        <v>58</v>
      </c>
      <c r="C18" s="11" t="n">
        <v>40000</v>
      </c>
      <c r="D18" s="12" t="n">
        <f aca="false">C18/$C$41</f>
        <v>0.0106666666666667</v>
      </c>
    </row>
    <row r="19" customFormat="false" ht="15" hidden="false" customHeight="true" outlineLevel="0" collapsed="false">
      <c r="B19" s="10" t="s">
        <v>59</v>
      </c>
      <c r="C19" s="11" t="n">
        <v>80000</v>
      </c>
      <c r="D19" s="12" t="n">
        <f aca="false">C19/$C$41</f>
        <v>0.0213333333333333</v>
      </c>
      <c r="E19" s="4" t="s">
        <v>60</v>
      </c>
    </row>
    <row r="20" customFormat="false" ht="15" hidden="false" customHeight="true" outlineLevel="0" collapsed="false">
      <c r="B20" s="16" t="s">
        <v>55</v>
      </c>
      <c r="C20" s="17" t="n">
        <f aca="false">SUM(C17:C19)</f>
        <v>400000</v>
      </c>
      <c r="D20" s="18" t="n">
        <f aca="false">C20/$C$41</f>
        <v>0.106666666666667</v>
      </c>
    </row>
    <row r="22" customFormat="false" ht="15" hidden="false" customHeight="true" outlineLevel="0" collapsed="false">
      <c r="B22" s="21" t="s">
        <v>61</v>
      </c>
      <c r="C22" s="22"/>
      <c r="D22" s="22"/>
      <c r="E22" s="22"/>
    </row>
    <row r="23" customFormat="false" ht="15" hidden="false" customHeight="true" outlineLevel="0" collapsed="false">
      <c r="B23" s="10" t="s">
        <v>62</v>
      </c>
      <c r="C23" s="11" t="n">
        <v>390000</v>
      </c>
      <c r="D23" s="12" t="n">
        <f aca="false">C23/$C$41</f>
        <v>0.104</v>
      </c>
      <c r="E23" s="4" t="s">
        <v>63</v>
      </c>
    </row>
    <row r="24" customFormat="false" ht="15" hidden="false" customHeight="true" outlineLevel="0" collapsed="false">
      <c r="B24" s="10" t="s">
        <v>64</v>
      </c>
      <c r="C24" s="11" t="n">
        <v>70000</v>
      </c>
      <c r="D24" s="12" t="n">
        <f aca="false">C24/$C$41</f>
        <v>0.0186666666666667</v>
      </c>
      <c r="E24" s="4" t="s">
        <v>65</v>
      </c>
    </row>
    <row r="25" customFormat="false" ht="15" hidden="false" customHeight="true" outlineLevel="0" collapsed="false">
      <c r="B25" s="10" t="s">
        <v>66</v>
      </c>
      <c r="C25" s="8" t="n">
        <v>225000</v>
      </c>
      <c r="D25" s="23" t="n">
        <f aca="false">C25/$C$41</f>
        <v>0.06</v>
      </c>
      <c r="E25" s="13" t="s">
        <v>67</v>
      </c>
    </row>
    <row r="26" customFormat="false" ht="15" hidden="false" customHeight="true" outlineLevel="0" collapsed="false">
      <c r="B26" s="10" t="s">
        <v>68</v>
      </c>
      <c r="C26" s="11" t="n">
        <v>50000</v>
      </c>
      <c r="D26" s="12" t="n">
        <f aca="false">C26/$C$41</f>
        <v>0.0133333333333333</v>
      </c>
    </row>
    <row r="27" customFormat="false" ht="15" hidden="false" customHeight="true" outlineLevel="0" collapsed="false">
      <c r="B27" s="16" t="s">
        <v>55</v>
      </c>
      <c r="C27" s="17" t="n">
        <f aca="false">SUM(C23:C26)</f>
        <v>735000</v>
      </c>
      <c r="D27" s="18" t="n">
        <f aca="false">C27/$C$41</f>
        <v>0.196</v>
      </c>
    </row>
    <row r="28" customFormat="false" ht="15" hidden="false" customHeight="true" outlineLevel="0" collapsed="false"/>
    <row r="29" customFormat="false" ht="15" hidden="false" customHeight="true" outlineLevel="0" collapsed="false">
      <c r="B29" s="21" t="s">
        <v>69</v>
      </c>
      <c r="C29" s="10"/>
      <c r="D29" s="10"/>
      <c r="E29" s="10"/>
    </row>
    <row r="30" customFormat="false" ht="15" hidden="false" customHeight="true" outlineLevel="0" collapsed="false">
      <c r="B30" s="10" t="s">
        <v>70</v>
      </c>
      <c r="C30" s="11" t="n">
        <v>280000</v>
      </c>
      <c r="D30" s="12" t="n">
        <f aca="false">C30/$C$41</f>
        <v>0.0746666666666667</v>
      </c>
      <c r="E30" s="13" t="s">
        <v>71</v>
      </c>
    </row>
    <row r="31" customFormat="false" ht="15" hidden="false" customHeight="true" outlineLevel="0" collapsed="false">
      <c r="B31" s="10" t="s">
        <v>72</v>
      </c>
      <c r="C31" s="11" t="n">
        <v>116000</v>
      </c>
      <c r="D31" s="12" t="n">
        <f aca="false">C31/$C$41</f>
        <v>0.0309333333333333</v>
      </c>
      <c r="E31" s="13" t="s">
        <v>73</v>
      </c>
    </row>
    <row r="32" customFormat="false" ht="15" hidden="false" customHeight="true" outlineLevel="0" collapsed="false">
      <c r="B32" s="6" t="s">
        <v>55</v>
      </c>
      <c r="C32" s="14" t="n">
        <f aca="false">SUM(C30:C31)</f>
        <v>396000</v>
      </c>
      <c r="D32" s="15" t="n">
        <f aca="false">C32/$C$41</f>
        <v>0.1056</v>
      </c>
      <c r="E32" s="10"/>
    </row>
    <row r="33" customFormat="false" ht="15" hidden="false" customHeight="true" outlineLevel="0" collapsed="false">
      <c r="B33" s="24"/>
      <c r="C33" s="25"/>
      <c r="D33" s="26"/>
      <c r="E33" s="10"/>
    </row>
    <row r="34" customFormat="false" ht="15" hidden="false" customHeight="true" outlineLevel="0" collapsed="false">
      <c r="B34" s="21" t="s">
        <v>74</v>
      </c>
      <c r="C34" s="10"/>
      <c r="D34" s="10"/>
      <c r="E34" s="10"/>
    </row>
    <row r="35" customFormat="false" ht="15" hidden="false" customHeight="true" outlineLevel="0" collapsed="false">
      <c r="B35" s="10" t="s">
        <v>75</v>
      </c>
      <c r="C35" s="8" t="n">
        <v>419000</v>
      </c>
      <c r="D35" s="23" t="n">
        <f aca="false">C35/$C$41</f>
        <v>0.111733333333333</v>
      </c>
      <c r="E35" s="13" t="s">
        <v>27</v>
      </c>
    </row>
    <row r="36" customFormat="false" ht="15" hidden="false" customHeight="true" outlineLevel="0" collapsed="false">
      <c r="B36" s="6" t="s">
        <v>55</v>
      </c>
      <c r="C36" s="14" t="n">
        <f aca="false">SUM(C35:C35)</f>
        <v>419000</v>
      </c>
      <c r="D36" s="15" t="n">
        <f aca="false">C36/$C$41</f>
        <v>0.111733333333333</v>
      </c>
      <c r="E36" s="10"/>
    </row>
    <row r="37" customFormat="false" ht="15" hidden="false" customHeight="true" outlineLevel="0" collapsed="false">
      <c r="B37" s="24"/>
      <c r="C37" s="25"/>
      <c r="D37" s="26"/>
      <c r="E37" s="10"/>
    </row>
    <row r="38" customFormat="false" ht="15" hidden="false" customHeight="true" outlineLevel="0" collapsed="false">
      <c r="B38" s="10"/>
      <c r="C38" s="10"/>
      <c r="D38" s="10"/>
      <c r="E38" s="10"/>
    </row>
    <row r="39" customFormat="false" ht="15" hidden="false" customHeight="true" outlineLevel="0" collapsed="false">
      <c r="B39" s="10"/>
      <c r="C39" s="10"/>
      <c r="D39" s="10"/>
      <c r="E39" s="10"/>
    </row>
    <row r="40" customFormat="false" ht="15" hidden="false" customHeight="true" outlineLevel="0" collapsed="false">
      <c r="B40" s="10"/>
      <c r="C40" s="27"/>
      <c r="D40" s="28"/>
      <c r="E40" s="10"/>
    </row>
    <row r="41" customFormat="false" ht="15" hidden="false" customHeight="true" outlineLevel="0" collapsed="false">
      <c r="B41" s="29" t="s">
        <v>76</v>
      </c>
      <c r="C41" s="30" t="n">
        <f aca="false">C14+C20+C27+C32+C36</f>
        <v>3750000</v>
      </c>
      <c r="D41" s="31" t="n">
        <f aca="false">C41/C41</f>
        <v>1</v>
      </c>
      <c r="E41" s="10"/>
    </row>
    <row r="42" customFormat="false" ht="15" hidden="false" customHeight="true" outlineLevel="0" collapsed="false">
      <c r="B42" s="10"/>
      <c r="C42" s="10"/>
      <c r="D42" s="10"/>
      <c r="E42" s="10"/>
    </row>
    <row r="43" customFormat="false" ht="15" hidden="false" customHeight="true" outlineLevel="0" collapsed="false">
      <c r="B43" s="13" t="s">
        <v>77</v>
      </c>
      <c r="C43" s="27"/>
      <c r="D43" s="28"/>
      <c r="E43" s="10"/>
    </row>
    <row r="44" customFormat="false" ht="15" hidden="false" customHeight="true" outlineLevel="0" collapsed="false">
      <c r="B44" s="10"/>
      <c r="C44" s="10"/>
      <c r="D44" s="10"/>
      <c r="E44" s="10"/>
    </row>
    <row r="45" customFormat="false" ht="15" hidden="false" customHeight="true" outlineLevel="0" collapsed="false">
      <c r="B45" s="10"/>
      <c r="C45" s="10"/>
      <c r="D45" s="10"/>
      <c r="E45" s="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0"/>
    <col collapsed="false" customWidth="true" hidden="false" outlineLevel="0" max="4" min="3" style="1" width="42"/>
  </cols>
  <sheetData>
    <row r="2" customFormat="false" ht="19.5" hidden="false" customHeight="true" outlineLevel="0" collapsed="false">
      <c r="B2" s="2" t="s">
        <v>78</v>
      </c>
    </row>
    <row r="3" customFormat="false" ht="15" hidden="false" customHeight="true" outlineLevel="0" collapsed="false">
      <c r="B3" s="4" t="s">
        <v>79</v>
      </c>
    </row>
    <row r="5" customFormat="false" ht="15" hidden="false" customHeight="true" outlineLevel="0" collapsed="false">
      <c r="B5" s="32"/>
      <c r="C5" s="33" t="s">
        <v>80</v>
      </c>
      <c r="D5" s="33" t="s">
        <v>81</v>
      </c>
    </row>
    <row r="6" customFormat="false" ht="45.75" hidden="false" customHeight="true" outlineLevel="0" collapsed="false">
      <c r="B6" s="34" t="s">
        <v>82</v>
      </c>
      <c r="C6" s="35" t="s">
        <v>83</v>
      </c>
      <c r="D6" s="35" t="s">
        <v>84</v>
      </c>
    </row>
    <row r="7" customFormat="false" ht="45.75" hidden="false" customHeight="true" outlineLevel="0" collapsed="false">
      <c r="B7" s="34" t="s">
        <v>85</v>
      </c>
      <c r="C7" s="35" t="s">
        <v>86</v>
      </c>
      <c r="D7" s="35" t="s">
        <v>87</v>
      </c>
    </row>
    <row r="8" customFormat="false" ht="45.75" hidden="false" customHeight="true" outlineLevel="0" collapsed="false">
      <c r="B8" s="34" t="s">
        <v>88</v>
      </c>
      <c r="C8" s="35" t="s">
        <v>89</v>
      </c>
      <c r="D8" s="35" t="s">
        <v>90</v>
      </c>
    </row>
    <row r="9" customFormat="false" ht="45.75" hidden="false" customHeight="true" outlineLevel="0" collapsed="false">
      <c r="B9" s="34" t="s">
        <v>91</v>
      </c>
      <c r="C9" s="35" t="s">
        <v>92</v>
      </c>
      <c r="D9" s="35" t="s">
        <v>93</v>
      </c>
    </row>
    <row r="10" customFormat="false" ht="45.75" hidden="false" customHeight="true" outlineLevel="0" collapsed="false">
      <c r="B10" s="34" t="s">
        <v>94</v>
      </c>
      <c r="C10" s="35" t="s">
        <v>95</v>
      </c>
      <c r="D10" s="35" t="s">
        <v>96</v>
      </c>
    </row>
    <row r="11" customFormat="false" ht="45.75" hidden="false" customHeight="true" outlineLevel="0" collapsed="false">
      <c r="B11" s="34" t="s">
        <v>97</v>
      </c>
      <c r="C11" s="35" t="s">
        <v>98</v>
      </c>
      <c r="D11" s="35" t="s">
        <v>99</v>
      </c>
    </row>
    <row r="12" customFormat="false" ht="45.75" hidden="false" customHeight="true" outlineLevel="0" collapsed="false">
      <c r="B12" s="34" t="s">
        <v>100</v>
      </c>
      <c r="C12" s="35" t="s">
        <v>101</v>
      </c>
      <c r="D12" s="35" t="s">
        <v>102</v>
      </c>
    </row>
    <row r="14" customFormat="false" ht="15" hidden="false" customHeight="true" outlineLevel="0" collapsed="false">
      <c r="B14" s="5" t="s">
        <v>103</v>
      </c>
      <c r="C14" s="5"/>
      <c r="D14" s="5"/>
    </row>
    <row r="15" customFormat="false" ht="72" hidden="false" customHeight="true" outlineLevel="0" collapsed="false">
      <c r="B15" s="36" t="s">
        <v>104</v>
      </c>
      <c r="C15" s="36"/>
      <c r="D15" s="36"/>
    </row>
    <row r="17" customFormat="false" ht="15" hidden="false" customHeight="true" outlineLevel="0" collapsed="false">
      <c r="B17" s="37" t="s">
        <v>105</v>
      </c>
      <c r="C17" s="37"/>
      <c r="D17" s="37"/>
    </row>
    <row r="18" customFormat="false" ht="57.75" hidden="false" customHeight="true" outlineLevel="0" collapsed="false">
      <c r="B18" s="38" t="s">
        <v>106</v>
      </c>
      <c r="C18" s="38"/>
      <c r="D18" s="38"/>
    </row>
    <row r="20" customFormat="false" ht="15" hidden="false" customHeight="true" outlineLevel="0" collapsed="false">
      <c r="B20" s="37" t="s">
        <v>107</v>
      </c>
      <c r="C20" s="37"/>
      <c r="D20" s="37"/>
    </row>
    <row r="21" customFormat="false" ht="15" hidden="false" customHeight="true" outlineLevel="0" collapsed="false">
      <c r="B21" s="6" t="s">
        <v>108</v>
      </c>
      <c r="C21" s="39" t="s">
        <v>109</v>
      </c>
      <c r="D21" s="39"/>
    </row>
    <row r="22" customFormat="false" ht="15" hidden="false" customHeight="true" outlineLevel="0" collapsed="false">
      <c r="B22" s="6" t="s">
        <v>15</v>
      </c>
      <c r="C22" s="39" t="s">
        <v>110</v>
      </c>
      <c r="D22" s="39"/>
    </row>
    <row r="23" customFormat="false" ht="15" hidden="false" customHeight="true" outlineLevel="0" collapsed="false">
      <c r="B23" s="6" t="s">
        <v>111</v>
      </c>
      <c r="C23" s="40" t="s">
        <v>112</v>
      </c>
      <c r="D23" s="40"/>
    </row>
    <row r="24" customFormat="false" ht="15" hidden="false" customHeight="true" outlineLevel="0" collapsed="false">
      <c r="B24" s="6" t="s">
        <v>113</v>
      </c>
      <c r="C24" s="40" t="s">
        <v>114</v>
      </c>
      <c r="D24" s="40"/>
    </row>
    <row r="25" customFormat="false" ht="15" hidden="false" customHeight="true" outlineLevel="0" collapsed="false">
      <c r="B25" s="6" t="s">
        <v>115</v>
      </c>
      <c r="C25" s="40" t="s">
        <v>112</v>
      </c>
      <c r="D25" s="40"/>
    </row>
  </sheetData>
  <mergeCells count="9">
    <mergeCell ref="B15:D15"/>
    <mergeCell ref="B17:D17"/>
    <mergeCell ref="B18:D18"/>
    <mergeCell ref="B20:D20"/>
    <mergeCell ref="C21:D21"/>
    <mergeCell ref="C22:D22"/>
    <mergeCell ref="C23:D23"/>
    <mergeCell ref="C24:D24"/>
    <mergeCell ref="C25:D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T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0"/>
    <col collapsed="false" customWidth="true" hidden="false" outlineLevel="0" max="20" min="3" style="1" width="11"/>
  </cols>
  <sheetData>
    <row r="2" customFormat="false" ht="19.5" hidden="false" customHeight="true" outlineLevel="0" collapsed="false">
      <c r="B2" s="2" t="s">
        <v>116</v>
      </c>
    </row>
    <row r="3" customFormat="false" ht="15" hidden="false" customHeight="true" outlineLevel="0" collapsed="false">
      <c r="B3" s="4" t="s">
        <v>117</v>
      </c>
    </row>
    <row r="5" customFormat="false" ht="15" hidden="false" customHeight="true" outlineLevel="0" collapsed="false">
      <c r="B5" s="41" t="s">
        <v>118</v>
      </c>
      <c r="C5" s="42" t="s">
        <v>119</v>
      </c>
      <c r="D5" s="42" t="s">
        <v>120</v>
      </c>
      <c r="E5" s="42" t="s">
        <v>121</v>
      </c>
      <c r="F5" s="42" t="s">
        <v>122</v>
      </c>
      <c r="G5" s="42" t="s">
        <v>123</v>
      </c>
      <c r="H5" s="42" t="s">
        <v>124</v>
      </c>
      <c r="I5" s="42" t="s">
        <v>125</v>
      </c>
      <c r="J5" s="42" t="s">
        <v>126</v>
      </c>
      <c r="K5" s="42" t="s">
        <v>127</v>
      </c>
      <c r="L5" s="42" t="s">
        <v>128</v>
      </c>
      <c r="M5" s="42" t="s">
        <v>129</v>
      </c>
      <c r="N5" s="42" t="s">
        <v>130</v>
      </c>
      <c r="O5" s="42" t="s">
        <v>131</v>
      </c>
      <c r="P5" s="42" t="s">
        <v>132</v>
      </c>
      <c r="Q5" s="42" t="s">
        <v>133</v>
      </c>
      <c r="R5" s="42" t="s">
        <v>134</v>
      </c>
      <c r="S5" s="42" t="s">
        <v>135</v>
      </c>
      <c r="T5" s="42" t="s">
        <v>136</v>
      </c>
    </row>
    <row r="6" customFormat="false" ht="15" hidden="false" customHeight="true" outlineLevel="0" collapsed="false">
      <c r="B6" s="10" t="s">
        <v>137</v>
      </c>
      <c r="C6" s="11" t="n">
        <v>20000</v>
      </c>
      <c r="D6" s="11" t="n">
        <v>20000</v>
      </c>
      <c r="E6" s="11" t="n">
        <v>20000</v>
      </c>
      <c r="F6" s="11" t="n">
        <v>30000</v>
      </c>
      <c r="G6" s="11" t="n">
        <v>30000</v>
      </c>
      <c r="H6" s="11" t="n">
        <v>30000</v>
      </c>
      <c r="I6" s="11" t="n">
        <v>30000</v>
      </c>
      <c r="J6" s="11" t="n">
        <v>30000</v>
      </c>
      <c r="K6" s="11" t="n">
        <v>30000</v>
      </c>
      <c r="L6" s="11" t="n">
        <v>30000</v>
      </c>
      <c r="M6" s="11" t="n">
        <v>30000</v>
      </c>
      <c r="N6" s="11" t="n">
        <v>30000</v>
      </c>
      <c r="O6" s="11" t="n">
        <v>30000</v>
      </c>
      <c r="P6" s="11" t="n">
        <v>30000</v>
      </c>
      <c r="Q6" s="11" t="n">
        <v>30000</v>
      </c>
      <c r="R6" s="11" t="n">
        <v>30000</v>
      </c>
      <c r="S6" s="11" t="n">
        <v>30000</v>
      </c>
      <c r="T6" s="11" t="n">
        <v>30000</v>
      </c>
    </row>
    <row r="7" customFormat="false" ht="15" hidden="false" customHeight="true" outlineLevel="0" collapsed="false">
      <c r="B7" s="10" t="s">
        <v>138</v>
      </c>
      <c r="C7" s="8" t="n">
        <v>18750</v>
      </c>
      <c r="D7" s="8" t="n">
        <v>18750</v>
      </c>
      <c r="E7" s="8" t="n">
        <v>18750</v>
      </c>
      <c r="F7" s="8" t="n">
        <v>18750</v>
      </c>
      <c r="G7" s="8" t="n">
        <v>18750</v>
      </c>
      <c r="H7" s="8" t="n">
        <v>18750</v>
      </c>
      <c r="I7" s="8" t="n">
        <v>18750</v>
      </c>
      <c r="J7" s="8" t="n">
        <v>18750</v>
      </c>
      <c r="K7" s="8" t="n">
        <v>18750</v>
      </c>
      <c r="L7" s="8" t="n">
        <v>18750</v>
      </c>
      <c r="M7" s="8" t="n">
        <v>18750</v>
      </c>
      <c r="N7" s="8" t="n">
        <v>18750</v>
      </c>
      <c r="O7" s="8" t="n">
        <v>18750</v>
      </c>
      <c r="P7" s="8" t="n">
        <v>18750</v>
      </c>
      <c r="Q7" s="8" t="n">
        <v>18750</v>
      </c>
      <c r="R7" s="8" t="n">
        <v>18750</v>
      </c>
      <c r="S7" s="8" t="n">
        <v>18750</v>
      </c>
      <c r="T7" s="8" t="n">
        <v>18750</v>
      </c>
    </row>
    <row r="8" customFormat="false" ht="15" hidden="false" customHeight="true" outlineLevel="0" collapsed="false">
      <c r="B8" s="10" t="s">
        <v>139</v>
      </c>
      <c r="C8" s="11" t="n">
        <v>26667</v>
      </c>
      <c r="D8" s="11" t="n">
        <v>26667</v>
      </c>
      <c r="E8" s="11" t="n">
        <v>26667</v>
      </c>
      <c r="F8" s="11" t="n">
        <v>26667</v>
      </c>
      <c r="G8" s="11" t="n">
        <v>26667</v>
      </c>
      <c r="H8" s="11" t="n">
        <v>26667</v>
      </c>
      <c r="I8" s="11" t="n">
        <v>26667</v>
      </c>
      <c r="J8" s="11" t="n">
        <v>26667</v>
      </c>
      <c r="K8" s="11" t="n">
        <v>26667</v>
      </c>
      <c r="L8" s="11" t="n">
        <v>26667</v>
      </c>
      <c r="M8" s="11" t="n">
        <v>26667</v>
      </c>
      <c r="N8" s="11" t="n">
        <v>26667</v>
      </c>
      <c r="O8" s="11" t="n">
        <v>26667</v>
      </c>
      <c r="P8" s="11" t="n">
        <v>26667</v>
      </c>
      <c r="Q8" s="11" t="n">
        <v>26667</v>
      </c>
      <c r="R8" s="11" t="n">
        <v>26667</v>
      </c>
      <c r="S8" s="11" t="n">
        <v>26667</v>
      </c>
      <c r="T8" s="11" t="n">
        <v>26667</v>
      </c>
    </row>
    <row r="9" customFormat="false" ht="15" hidden="false" customHeight="true" outlineLevel="0" collapsed="false">
      <c r="B9" s="10" t="s">
        <v>140</v>
      </c>
      <c r="C9" s="11" t="n">
        <v>21667</v>
      </c>
      <c r="D9" s="11" t="n">
        <v>21667</v>
      </c>
      <c r="E9" s="11" t="n">
        <v>21667</v>
      </c>
      <c r="F9" s="11" t="n">
        <v>21667</v>
      </c>
      <c r="G9" s="11" t="n">
        <v>21667</v>
      </c>
      <c r="H9" s="11" t="n">
        <v>21667</v>
      </c>
      <c r="I9" s="11" t="n">
        <v>21667</v>
      </c>
      <c r="J9" s="11" t="n">
        <v>21667</v>
      </c>
      <c r="K9" s="11" t="n">
        <v>21667</v>
      </c>
      <c r="L9" s="11" t="n">
        <v>21667</v>
      </c>
      <c r="M9" s="11" t="n">
        <v>21667</v>
      </c>
      <c r="N9" s="11" t="n">
        <v>21667</v>
      </c>
      <c r="O9" s="11" t="n">
        <v>21667</v>
      </c>
      <c r="P9" s="11" t="n">
        <v>21667</v>
      </c>
      <c r="Q9" s="11" t="n">
        <v>21667</v>
      </c>
      <c r="R9" s="11" t="n">
        <v>21667</v>
      </c>
      <c r="S9" s="11" t="n">
        <v>21667</v>
      </c>
      <c r="T9" s="11" t="n">
        <v>21667</v>
      </c>
    </row>
    <row r="10" customFormat="false" ht="15" hidden="false" customHeight="true" outlineLevel="0" collapsed="false">
      <c r="B10" s="10" t="s">
        <v>141</v>
      </c>
      <c r="C10" s="19" t="n">
        <v>0</v>
      </c>
      <c r="D10" s="19" t="n">
        <v>0</v>
      </c>
      <c r="E10" s="19" t="n">
        <v>0</v>
      </c>
      <c r="F10" s="11" t="n">
        <v>16667</v>
      </c>
      <c r="G10" s="11" t="n">
        <v>16667</v>
      </c>
      <c r="H10" s="11" t="n">
        <v>16667</v>
      </c>
      <c r="I10" s="11" t="n">
        <v>16667</v>
      </c>
      <c r="J10" s="11" t="n">
        <v>16667</v>
      </c>
      <c r="K10" s="11" t="n">
        <v>16667</v>
      </c>
      <c r="L10" s="11" t="n">
        <v>16667</v>
      </c>
      <c r="M10" s="11" t="n">
        <v>16667</v>
      </c>
      <c r="N10" s="11" t="n">
        <v>16667</v>
      </c>
      <c r="O10" s="11" t="n">
        <v>16667</v>
      </c>
      <c r="P10" s="11" t="n">
        <v>16667</v>
      </c>
      <c r="Q10" s="11" t="n">
        <v>16667</v>
      </c>
      <c r="R10" s="11" t="n">
        <v>16667</v>
      </c>
      <c r="S10" s="11" t="n">
        <v>16667</v>
      </c>
      <c r="T10" s="11" t="n">
        <v>16667</v>
      </c>
    </row>
    <row r="11" customFormat="false" ht="15" hidden="false" customHeight="true" outlineLevel="0" collapsed="false">
      <c r="B11" s="10" t="s">
        <v>142</v>
      </c>
      <c r="C11" s="11" t="n">
        <v>23333</v>
      </c>
      <c r="D11" s="11" t="n">
        <v>23333</v>
      </c>
      <c r="E11" s="11" t="n">
        <v>23333</v>
      </c>
      <c r="F11" s="11" t="n">
        <v>23333</v>
      </c>
      <c r="G11" s="11" t="n">
        <v>23333</v>
      </c>
      <c r="H11" s="11" t="n">
        <v>23333</v>
      </c>
      <c r="I11" s="11" t="n">
        <v>23333</v>
      </c>
      <c r="J11" s="11" t="n">
        <v>23333</v>
      </c>
      <c r="K11" s="11" t="n">
        <v>23333</v>
      </c>
      <c r="L11" s="11" t="n">
        <v>23333</v>
      </c>
      <c r="M11" s="11" t="n">
        <v>23333</v>
      </c>
      <c r="N11" s="11" t="n">
        <v>23333</v>
      </c>
      <c r="O11" s="11" t="n">
        <v>23333</v>
      </c>
      <c r="P11" s="11" t="n">
        <v>23333</v>
      </c>
      <c r="Q11" s="11" t="n">
        <v>23333</v>
      </c>
      <c r="R11" s="11" t="n">
        <v>23333</v>
      </c>
      <c r="S11" s="11" t="n">
        <v>23333</v>
      </c>
      <c r="T11" s="11" t="n">
        <v>23333</v>
      </c>
    </row>
    <row r="12" customFormat="false" ht="15" hidden="false" customHeight="true" outlineLevel="0" collapsed="false">
      <c r="B12" s="10" t="s">
        <v>143</v>
      </c>
      <c r="C12" s="11" t="n">
        <v>14000</v>
      </c>
      <c r="D12" s="11" t="n">
        <v>14000</v>
      </c>
      <c r="E12" s="11" t="n">
        <v>14000</v>
      </c>
      <c r="F12" s="11" t="n">
        <v>14000</v>
      </c>
      <c r="G12" s="11" t="n">
        <v>14000</v>
      </c>
      <c r="H12" s="11" t="n">
        <v>14000</v>
      </c>
      <c r="I12" s="11" t="n">
        <v>14000</v>
      </c>
      <c r="J12" s="11" t="n">
        <v>14000</v>
      </c>
      <c r="K12" s="11" t="n">
        <v>14000</v>
      </c>
      <c r="L12" s="11" t="n">
        <v>14000</v>
      </c>
      <c r="M12" s="11" t="n">
        <v>14000</v>
      </c>
      <c r="N12" s="11" t="n">
        <v>14000</v>
      </c>
      <c r="O12" s="11" t="n">
        <v>14000</v>
      </c>
      <c r="P12" s="11" t="n">
        <v>14000</v>
      </c>
      <c r="Q12" s="11" t="n">
        <v>14000</v>
      </c>
      <c r="R12" s="11" t="n">
        <v>14000</v>
      </c>
      <c r="S12" s="11" t="n">
        <v>14000</v>
      </c>
      <c r="T12" s="11" t="n">
        <v>14000</v>
      </c>
    </row>
    <row r="13" customFormat="false" ht="15" hidden="false" customHeight="true" outlineLevel="0" collapsed="false">
      <c r="B13" s="10" t="s">
        <v>144</v>
      </c>
      <c r="C13" s="11" t="n">
        <v>34000</v>
      </c>
      <c r="D13" s="11" t="n">
        <v>34000</v>
      </c>
      <c r="E13" s="11" t="n">
        <v>34000</v>
      </c>
      <c r="F13" s="11" t="n">
        <v>34000</v>
      </c>
      <c r="G13" s="11" t="n">
        <v>34000</v>
      </c>
      <c r="H13" s="11" t="n">
        <v>34000</v>
      </c>
      <c r="I13" s="11" t="n">
        <v>34000</v>
      </c>
      <c r="J13" s="11" t="n">
        <v>34000</v>
      </c>
      <c r="K13" s="11" t="n">
        <v>34000</v>
      </c>
      <c r="L13" s="11" t="n">
        <v>34000</v>
      </c>
      <c r="M13" s="11" t="n">
        <v>34000</v>
      </c>
      <c r="N13" s="11" t="n">
        <v>34000</v>
      </c>
      <c r="O13" s="11" t="n">
        <v>34000</v>
      </c>
      <c r="P13" s="11" t="n">
        <v>34000</v>
      </c>
      <c r="Q13" s="11" t="n">
        <v>34000</v>
      </c>
      <c r="R13" s="11" t="n">
        <v>34000</v>
      </c>
      <c r="S13" s="11" t="n">
        <v>34000</v>
      </c>
      <c r="T13" s="11" t="n">
        <v>34000</v>
      </c>
    </row>
    <row r="14" customFormat="false" ht="15" hidden="false" customHeight="true" outlineLevel="0" collapsed="false">
      <c r="B14" s="10" t="s">
        <v>24</v>
      </c>
      <c r="C14" s="19" t="n">
        <v>0</v>
      </c>
      <c r="D14" s="19" t="n">
        <v>0</v>
      </c>
      <c r="E14" s="11" t="n">
        <v>8000</v>
      </c>
      <c r="F14" s="11" t="n">
        <v>8000</v>
      </c>
      <c r="G14" s="11" t="n">
        <v>14000</v>
      </c>
      <c r="H14" s="11" t="n">
        <v>14000</v>
      </c>
      <c r="I14" s="11" t="n">
        <v>14000</v>
      </c>
      <c r="J14" s="11" t="n">
        <v>19000</v>
      </c>
      <c r="K14" s="11" t="n">
        <v>19000</v>
      </c>
      <c r="L14" s="11" t="n">
        <v>19000</v>
      </c>
      <c r="M14" s="11" t="n">
        <v>19000</v>
      </c>
      <c r="N14" s="11" t="n">
        <v>19000</v>
      </c>
      <c r="O14" s="11" t="n">
        <v>19000</v>
      </c>
      <c r="P14" s="11" t="n">
        <v>19000</v>
      </c>
      <c r="Q14" s="11" t="n">
        <v>19000</v>
      </c>
      <c r="R14" s="11" t="n">
        <v>19000</v>
      </c>
      <c r="S14" s="11" t="n">
        <v>19000</v>
      </c>
      <c r="T14" s="11" t="n">
        <v>19000</v>
      </c>
    </row>
    <row r="15" customFormat="false" ht="15" hidden="false" customHeight="true" outlineLevel="0" collapsed="false">
      <c r="B15" s="10"/>
      <c r="C15" s="27"/>
      <c r="D15" s="27"/>
      <c r="E15" s="27"/>
      <c r="F15" s="27"/>
      <c r="G15" s="27"/>
      <c r="H15" s="27"/>
      <c r="I15" s="27"/>
      <c r="J15" s="27"/>
      <c r="K15" s="27"/>
      <c r="L15" s="27"/>
      <c r="M15" s="27"/>
      <c r="N15" s="27"/>
      <c r="O15" s="27"/>
      <c r="P15" s="27"/>
      <c r="Q15" s="27"/>
      <c r="R15" s="27"/>
      <c r="S15" s="27"/>
      <c r="T15" s="27"/>
    </row>
    <row r="16" customFormat="false" ht="15" hidden="false" customHeight="true" outlineLevel="0" collapsed="false">
      <c r="B16" s="10" t="s">
        <v>145</v>
      </c>
      <c r="C16" s="11" t="n">
        <v>8000</v>
      </c>
      <c r="D16" s="11" t="n">
        <v>8000</v>
      </c>
      <c r="E16" s="11" t="n">
        <v>8000</v>
      </c>
      <c r="F16" s="11" t="n">
        <v>14000</v>
      </c>
      <c r="G16" s="11" t="n">
        <v>14000</v>
      </c>
      <c r="H16" s="11" t="n">
        <v>14000</v>
      </c>
      <c r="I16" s="11" t="n">
        <v>14000</v>
      </c>
      <c r="J16" s="11" t="n">
        <v>14000</v>
      </c>
      <c r="K16" s="11" t="n">
        <v>14000</v>
      </c>
      <c r="L16" s="11" t="n">
        <v>9000</v>
      </c>
      <c r="M16" s="11" t="n">
        <v>9000</v>
      </c>
      <c r="N16" s="11" t="n">
        <v>9000</v>
      </c>
      <c r="O16" s="11" t="n">
        <v>9000</v>
      </c>
      <c r="P16" s="11" t="n">
        <v>9000</v>
      </c>
      <c r="Q16" s="11" t="n">
        <v>9000</v>
      </c>
      <c r="R16" s="11" t="n">
        <v>9000</v>
      </c>
      <c r="S16" s="11" t="n">
        <v>9000</v>
      </c>
      <c r="T16" s="11" t="n">
        <v>9000</v>
      </c>
    </row>
    <row r="17" customFormat="false" ht="15" hidden="false" customHeight="true" outlineLevel="0" collapsed="false">
      <c r="B17" s="16" t="s">
        <v>146</v>
      </c>
      <c r="C17" s="17" t="n">
        <f aca="false">SUM(C6:C16)</f>
        <v>166417</v>
      </c>
      <c r="D17" s="17" t="n">
        <f aca="false">SUM(D6:D16)</f>
        <v>166417</v>
      </c>
      <c r="E17" s="17" t="n">
        <f aca="false">SUM(E6:E16)</f>
        <v>174417</v>
      </c>
      <c r="F17" s="17" t="n">
        <f aca="false">SUM(F6:F16)</f>
        <v>207084</v>
      </c>
      <c r="G17" s="17" t="n">
        <f aca="false">SUM(G6:G16)</f>
        <v>213084</v>
      </c>
      <c r="H17" s="17" t="n">
        <f aca="false">SUM(H6:H16)</f>
        <v>213084</v>
      </c>
      <c r="I17" s="17" t="n">
        <f aca="false">SUM(I6:I16)</f>
        <v>213084</v>
      </c>
      <c r="J17" s="17" t="n">
        <f aca="false">SUM(J6:J16)</f>
        <v>218084</v>
      </c>
      <c r="K17" s="17" t="n">
        <f aca="false">SUM(K6:K16)</f>
        <v>218084</v>
      </c>
      <c r="L17" s="17" t="n">
        <f aca="false">SUM(L6:L16)</f>
        <v>213084</v>
      </c>
      <c r="M17" s="17" t="n">
        <f aca="false">SUM(M6:M16)</f>
        <v>213084</v>
      </c>
      <c r="N17" s="17" t="n">
        <f aca="false">SUM(N6:N16)</f>
        <v>213084</v>
      </c>
      <c r="O17" s="17" t="n">
        <f aca="false">SUM(O6:O16)</f>
        <v>213084</v>
      </c>
      <c r="P17" s="17" t="n">
        <f aca="false">SUM(P6:P16)</f>
        <v>213084</v>
      </c>
      <c r="Q17" s="17" t="n">
        <f aca="false">SUM(Q6:Q16)</f>
        <v>213084</v>
      </c>
      <c r="R17" s="17" t="n">
        <f aca="false">SUM(R6:R16)</f>
        <v>213084</v>
      </c>
      <c r="S17" s="17" t="n">
        <f aca="false">SUM(S6:S16)</f>
        <v>213084</v>
      </c>
      <c r="T17" s="17" t="n">
        <f aca="false">SUM(T6:T16)</f>
        <v>213084</v>
      </c>
    </row>
    <row r="18" customFormat="false" ht="15" hidden="false" customHeight="true" outlineLevel="0" collapsed="false">
      <c r="B18" s="6" t="s">
        <v>147</v>
      </c>
      <c r="C18" s="14" t="n">
        <f aca="false">3750000-C17</f>
        <v>3583583</v>
      </c>
      <c r="D18" s="14" t="n">
        <f aca="false">C18-D17</f>
        <v>3417166</v>
      </c>
      <c r="E18" s="14" t="n">
        <f aca="false">D18-E17</f>
        <v>3242749</v>
      </c>
      <c r="F18" s="14" t="n">
        <f aca="false">E18-F17</f>
        <v>3035665</v>
      </c>
      <c r="G18" s="14" t="n">
        <f aca="false">F18-G17</f>
        <v>2822581</v>
      </c>
      <c r="H18" s="14" t="n">
        <f aca="false">G18-H17</f>
        <v>2609497</v>
      </c>
      <c r="I18" s="14" t="n">
        <f aca="false">H18-I17</f>
        <v>2396413</v>
      </c>
      <c r="J18" s="14" t="n">
        <f aca="false">I18-J17</f>
        <v>2178329</v>
      </c>
      <c r="K18" s="14" t="n">
        <f aca="false">J18-K17</f>
        <v>1960245</v>
      </c>
      <c r="L18" s="14" t="n">
        <f aca="false">K18-L17</f>
        <v>1747161</v>
      </c>
      <c r="M18" s="14" t="n">
        <f aca="false">L18-M17</f>
        <v>1534077</v>
      </c>
      <c r="N18" s="14" t="n">
        <f aca="false">M18-N17</f>
        <v>1320993</v>
      </c>
      <c r="O18" s="14" t="n">
        <f aca="false">N18-O17</f>
        <v>1107909</v>
      </c>
      <c r="P18" s="14" t="n">
        <f aca="false">O18-P17</f>
        <v>894825</v>
      </c>
      <c r="Q18" s="14" t="n">
        <f aca="false">P18-Q17</f>
        <v>681741</v>
      </c>
      <c r="R18" s="14" t="n">
        <f aca="false">Q18-R17</f>
        <v>468657</v>
      </c>
      <c r="S18" s="14" t="n">
        <f aca="false">R18-S17</f>
        <v>255573</v>
      </c>
      <c r="T18" s="14" t="n">
        <f aca="false">S18-T17</f>
        <v>42489</v>
      </c>
    </row>
    <row r="20" customFormat="false" ht="15" hidden="false" customHeight="true" outlineLevel="0" collapsed="false"/>
    <row r="21" customFormat="false" ht="15" hidden="false" customHeight="true" outlineLevel="0" collapsed="false">
      <c r="B21" s="13" t="s">
        <v>148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40"/>
    <col collapsed="false" customWidth="true" hidden="false" outlineLevel="0" max="3" min="3" style="1" width="16"/>
    <col collapsed="false" customWidth="true" hidden="false" outlineLevel="0" max="4" min="4" style="1" width="40"/>
  </cols>
  <sheetData>
    <row r="2" customFormat="false" ht="19.5" hidden="false" customHeight="true" outlineLevel="0" collapsed="false">
      <c r="B2" s="2" t="s">
        <v>0</v>
      </c>
    </row>
    <row r="3" customFormat="false" ht="15" hidden="false" customHeight="true" outlineLevel="0" collapsed="false">
      <c r="B3" s="3" t="s">
        <v>149</v>
      </c>
    </row>
    <row r="4" customFormat="false" ht="15" hidden="false" customHeight="true" outlineLevel="0" collapsed="false">
      <c r="B4" s="43" t="s">
        <v>150</v>
      </c>
    </row>
    <row r="6" customFormat="false" ht="15" hidden="false" customHeight="true" outlineLevel="0" collapsed="false">
      <c r="B6" s="41" t="s">
        <v>151</v>
      </c>
      <c r="C6" s="41" t="s">
        <v>152</v>
      </c>
      <c r="D6" s="41" t="s">
        <v>153</v>
      </c>
    </row>
    <row r="7" customFormat="false" ht="15" hidden="false" customHeight="true" outlineLevel="0" collapsed="false">
      <c r="B7" s="6" t="s">
        <v>154</v>
      </c>
      <c r="C7" s="44" t="n">
        <v>20000</v>
      </c>
      <c r="D7" s="43" t="s">
        <v>155</v>
      </c>
    </row>
    <row r="8" customFormat="false" ht="15" hidden="false" customHeight="true" outlineLevel="0" collapsed="false">
      <c r="B8" s="6" t="s">
        <v>156</v>
      </c>
      <c r="C8" s="44" t="n">
        <v>79</v>
      </c>
      <c r="D8" s="45" t="s">
        <v>157</v>
      </c>
    </row>
    <row r="9" customFormat="false" ht="15" hidden="false" customHeight="true" outlineLevel="0" collapsed="false">
      <c r="B9" s="6" t="s">
        <v>158</v>
      </c>
      <c r="C9" s="46" t="n">
        <v>0.25</v>
      </c>
      <c r="D9" s="43" t="s">
        <v>159</v>
      </c>
    </row>
    <row r="11" customFormat="false" ht="15" hidden="false" customHeight="true" outlineLevel="0" collapsed="false">
      <c r="B11" s="41" t="s">
        <v>160</v>
      </c>
      <c r="C11" s="41"/>
      <c r="D11" s="41"/>
    </row>
    <row r="12" customFormat="false" ht="15" hidden="false" customHeight="true" outlineLevel="0" collapsed="false">
      <c r="B12" s="6" t="s">
        <v>161</v>
      </c>
      <c r="C12" s="44" t="n">
        <v>3750000</v>
      </c>
      <c r="D12" s="43" t="s">
        <v>162</v>
      </c>
    </row>
    <row r="13" customFormat="false" ht="15" hidden="false" customHeight="true" outlineLevel="0" collapsed="false">
      <c r="B13" s="6" t="s">
        <v>163</v>
      </c>
      <c r="C13" s="44" t="n">
        <v>19000000</v>
      </c>
      <c r="D13" s="45" t="s">
        <v>164</v>
      </c>
    </row>
    <row r="14" customFormat="false" ht="15" hidden="false" customHeight="true" outlineLevel="0" collapsed="false">
      <c r="B14" s="6" t="s">
        <v>165</v>
      </c>
      <c r="C14" s="46" t="n">
        <v>0.55</v>
      </c>
      <c r="D14" s="43" t="s">
        <v>166</v>
      </c>
    </row>
    <row r="15" customFormat="false" ht="15" hidden="false" customHeight="true" outlineLevel="0" collapsed="false">
      <c r="B15" s="6" t="s">
        <v>167</v>
      </c>
      <c r="C15" s="47" t="n">
        <v>8</v>
      </c>
      <c r="D15" s="43" t="s">
        <v>168</v>
      </c>
    </row>
    <row r="16" customFormat="false" ht="15" hidden="false" customHeight="true" outlineLevel="0" collapsed="false">
      <c r="B16" s="6" t="s">
        <v>169</v>
      </c>
      <c r="C16" s="47" t="n">
        <v>15</v>
      </c>
      <c r="D16" s="45" t="s">
        <v>170</v>
      </c>
    </row>
    <row r="17" customFormat="false" ht="15" hidden="false" customHeight="true" outlineLevel="0" collapsed="false">
      <c r="B17" s="6" t="s">
        <v>171</v>
      </c>
      <c r="C17" s="47" t="n">
        <v>22</v>
      </c>
      <c r="D17" s="43" t="s">
        <v>172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T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4"/>
    <col collapsed="false" customWidth="true" hidden="false" outlineLevel="0" max="20" min="3" style="1" width="10"/>
  </cols>
  <sheetData>
    <row r="2" customFormat="false" ht="19.5" hidden="false" customHeight="true" outlineLevel="0" collapsed="false">
      <c r="B2" s="2" t="s">
        <v>0</v>
      </c>
    </row>
    <row r="3" customFormat="false" ht="15" hidden="false" customHeight="true" outlineLevel="0" collapsed="false">
      <c r="B3" s="3" t="s">
        <v>173</v>
      </c>
    </row>
    <row r="4" customFormat="false" ht="15" hidden="false" customHeight="true" outlineLevel="0" collapsed="false">
      <c r="B4" s="43" t="s">
        <v>174</v>
      </c>
    </row>
    <row r="6" customFormat="false" ht="15" hidden="false" customHeight="true" outlineLevel="0" collapsed="false">
      <c r="B6" s="41" t="s">
        <v>118</v>
      </c>
      <c r="C6" s="48" t="s">
        <v>119</v>
      </c>
      <c r="D6" s="48" t="s">
        <v>120</v>
      </c>
      <c r="E6" s="48" t="s">
        <v>121</v>
      </c>
      <c r="F6" s="48" t="s">
        <v>122</v>
      </c>
      <c r="G6" s="48" t="s">
        <v>123</v>
      </c>
      <c r="H6" s="48" t="s">
        <v>124</v>
      </c>
      <c r="I6" s="48" t="s">
        <v>125</v>
      </c>
      <c r="J6" s="48" t="s">
        <v>126</v>
      </c>
      <c r="K6" s="48" t="s">
        <v>127</v>
      </c>
      <c r="L6" s="48" t="s">
        <v>128</v>
      </c>
      <c r="M6" s="48" t="s">
        <v>129</v>
      </c>
      <c r="N6" s="48" t="s">
        <v>130</v>
      </c>
      <c r="O6" s="48" t="s">
        <v>131</v>
      </c>
      <c r="P6" s="48" t="s">
        <v>132</v>
      </c>
      <c r="Q6" s="48" t="s">
        <v>133</v>
      </c>
      <c r="R6" s="48" t="s">
        <v>134</v>
      </c>
      <c r="S6" s="48" t="s">
        <v>135</v>
      </c>
      <c r="T6" s="48" t="s">
        <v>136</v>
      </c>
    </row>
    <row r="7" customFormat="false" ht="15" hidden="false" customHeight="true" outlineLevel="0" collapsed="false">
      <c r="B7" s="10" t="s">
        <v>175</v>
      </c>
      <c r="C7" s="49" t="n">
        <v>0</v>
      </c>
      <c r="D7" s="49" t="n">
        <v>0</v>
      </c>
      <c r="E7" s="49" t="n">
        <v>0</v>
      </c>
      <c r="F7" s="49" t="n">
        <v>0</v>
      </c>
      <c r="G7" s="49" t="n">
        <v>0</v>
      </c>
      <c r="H7" s="49" t="n">
        <v>0</v>
      </c>
      <c r="I7" s="49" t="n">
        <v>1</v>
      </c>
      <c r="J7" s="49" t="n">
        <v>1</v>
      </c>
      <c r="K7" s="49" t="n">
        <v>2</v>
      </c>
      <c r="L7" s="49" t="n">
        <v>3</v>
      </c>
      <c r="M7" s="49" t="n">
        <v>4</v>
      </c>
      <c r="N7" s="49" t="n">
        <v>5</v>
      </c>
      <c r="O7" s="49" t="n">
        <v>6</v>
      </c>
      <c r="P7" s="49" t="n">
        <v>7</v>
      </c>
      <c r="Q7" s="49" t="n">
        <v>8</v>
      </c>
      <c r="R7" s="49" t="n">
        <v>9</v>
      </c>
      <c r="S7" s="49" t="n">
        <v>10</v>
      </c>
      <c r="T7" s="49" t="n">
        <v>12</v>
      </c>
    </row>
    <row r="8" customFormat="false" ht="15" hidden="false" customHeight="true" outlineLevel="0" collapsed="false">
      <c r="B8" s="10" t="s">
        <v>176</v>
      </c>
      <c r="C8" s="49" t="n">
        <v>0</v>
      </c>
      <c r="D8" s="49" t="n">
        <v>0</v>
      </c>
      <c r="E8" s="49" t="n">
        <v>0</v>
      </c>
      <c r="F8" s="49" t="n">
        <v>0</v>
      </c>
      <c r="G8" s="49" t="n">
        <v>0</v>
      </c>
      <c r="H8" s="49" t="n">
        <v>0</v>
      </c>
      <c r="I8" s="49" t="n">
        <v>0</v>
      </c>
      <c r="J8" s="49" t="n">
        <v>0</v>
      </c>
      <c r="K8" s="49" t="n">
        <v>25</v>
      </c>
      <c r="L8" s="49" t="n">
        <v>60</v>
      </c>
      <c r="M8" s="49" t="n">
        <v>120</v>
      </c>
      <c r="N8" s="49" t="n">
        <v>200</v>
      </c>
      <c r="O8" s="49" t="n">
        <v>320</v>
      </c>
      <c r="P8" s="49" t="n">
        <v>480</v>
      </c>
      <c r="Q8" s="49" t="n">
        <v>680</v>
      </c>
      <c r="R8" s="49" t="n">
        <v>920</v>
      </c>
      <c r="S8" s="49" t="n">
        <v>1200</v>
      </c>
      <c r="T8" s="49" t="n">
        <v>1500</v>
      </c>
    </row>
    <row r="9" customFormat="false" ht="15" hidden="false" customHeight="true" outlineLevel="0" collapsed="false">
      <c r="B9" s="10" t="s">
        <v>177</v>
      </c>
      <c r="C9" s="50" t="n">
        <f aca="false">C7*'Pricing Assumptions'!$C$7</f>
        <v>0</v>
      </c>
      <c r="D9" s="50" t="n">
        <f aca="false">D7*'Pricing Assumptions'!$C$7</f>
        <v>0</v>
      </c>
      <c r="E9" s="50" t="n">
        <f aca="false">E7*'Pricing Assumptions'!$C$7</f>
        <v>0</v>
      </c>
      <c r="F9" s="50" t="n">
        <f aca="false">F7*'Pricing Assumptions'!$C$7</f>
        <v>0</v>
      </c>
      <c r="G9" s="50" t="n">
        <f aca="false">G7*'Pricing Assumptions'!$C$7</f>
        <v>0</v>
      </c>
      <c r="H9" s="50" t="n">
        <f aca="false">H7*'Pricing Assumptions'!$C$7</f>
        <v>0</v>
      </c>
      <c r="I9" s="50" t="n">
        <f aca="false">I7*'Pricing Assumptions'!$C$7</f>
        <v>20000</v>
      </c>
      <c r="J9" s="50" t="n">
        <f aca="false">J7*'Pricing Assumptions'!$C$7</f>
        <v>20000</v>
      </c>
      <c r="K9" s="50" t="n">
        <f aca="false">K7*'Pricing Assumptions'!$C$7</f>
        <v>40000</v>
      </c>
      <c r="L9" s="50" t="n">
        <f aca="false">L7*'Pricing Assumptions'!$C$7</f>
        <v>60000</v>
      </c>
      <c r="M9" s="50" t="n">
        <f aca="false">M7*'Pricing Assumptions'!$C$7</f>
        <v>80000</v>
      </c>
      <c r="N9" s="50" t="n">
        <f aca="false">N7*'Pricing Assumptions'!$C$7</f>
        <v>100000</v>
      </c>
      <c r="O9" s="50" t="n">
        <f aca="false">O7*'Pricing Assumptions'!$C$7</f>
        <v>120000</v>
      </c>
      <c r="P9" s="50" t="n">
        <f aca="false">P7*'Pricing Assumptions'!$C$7</f>
        <v>140000</v>
      </c>
      <c r="Q9" s="50" t="n">
        <f aca="false">Q7*'Pricing Assumptions'!$C$7</f>
        <v>160000</v>
      </c>
      <c r="R9" s="50" t="n">
        <f aca="false">R7*'Pricing Assumptions'!$C$7</f>
        <v>180000</v>
      </c>
      <c r="S9" s="50" t="n">
        <f aca="false">S7*'Pricing Assumptions'!$C$7</f>
        <v>200000</v>
      </c>
      <c r="T9" s="50" t="n">
        <f aca="false">T7*'Pricing Assumptions'!$C$7</f>
        <v>240000</v>
      </c>
    </row>
    <row r="10" customFormat="false" ht="15" hidden="false" customHeight="true" outlineLevel="0" collapsed="false">
      <c r="B10" s="10" t="s">
        <v>178</v>
      </c>
      <c r="C10" s="50" t="n">
        <f aca="false">C8*'Pricing Assumptions'!$C$8</f>
        <v>0</v>
      </c>
      <c r="D10" s="50" t="n">
        <f aca="false">D8*'Pricing Assumptions'!$C$8</f>
        <v>0</v>
      </c>
      <c r="E10" s="50" t="n">
        <f aca="false">E8*'Pricing Assumptions'!$C$8</f>
        <v>0</v>
      </c>
      <c r="F10" s="50" t="n">
        <f aca="false">F8*'Pricing Assumptions'!$C$8</f>
        <v>0</v>
      </c>
      <c r="G10" s="50" t="n">
        <f aca="false">G8*'Pricing Assumptions'!$C$8</f>
        <v>0</v>
      </c>
      <c r="H10" s="50" t="n">
        <f aca="false">H8*'Pricing Assumptions'!$C$8</f>
        <v>0</v>
      </c>
      <c r="I10" s="50" t="n">
        <f aca="false">I8*'Pricing Assumptions'!$C$8</f>
        <v>0</v>
      </c>
      <c r="J10" s="50" t="n">
        <f aca="false">J8*'Pricing Assumptions'!$C$8</f>
        <v>0</v>
      </c>
      <c r="K10" s="50" t="n">
        <f aca="false">K8*'Pricing Assumptions'!$C$8</f>
        <v>1975</v>
      </c>
      <c r="L10" s="50" t="n">
        <f aca="false">L8*'Pricing Assumptions'!$C$8</f>
        <v>4740</v>
      </c>
      <c r="M10" s="50" t="n">
        <f aca="false">M8*'Pricing Assumptions'!$C$8</f>
        <v>9480</v>
      </c>
      <c r="N10" s="50" t="n">
        <f aca="false">N8*'Pricing Assumptions'!$C$8</f>
        <v>15800</v>
      </c>
      <c r="O10" s="50" t="n">
        <f aca="false">O8*'Pricing Assumptions'!$C$8</f>
        <v>25280</v>
      </c>
      <c r="P10" s="50" t="n">
        <f aca="false">P8*'Pricing Assumptions'!$C$8</f>
        <v>37920</v>
      </c>
      <c r="Q10" s="50" t="n">
        <f aca="false">Q8*'Pricing Assumptions'!$C$8</f>
        <v>53720</v>
      </c>
      <c r="R10" s="50" t="n">
        <f aca="false">R8*'Pricing Assumptions'!$C$8</f>
        <v>72680</v>
      </c>
      <c r="S10" s="50" t="n">
        <f aca="false">S8*'Pricing Assumptions'!$C$8</f>
        <v>94800</v>
      </c>
      <c r="T10" s="50" t="n">
        <f aca="false">T8*'Pricing Assumptions'!$C$8</f>
        <v>118500</v>
      </c>
    </row>
    <row r="11" customFormat="false" ht="15" hidden="false" customHeight="true" outlineLevel="0" collapsed="false">
      <c r="B11" s="10" t="s">
        <v>179</v>
      </c>
      <c r="C11" s="50" t="n">
        <f aca="false">(C9+C10)*'Pricing Assumptions'!$C$9</f>
        <v>0</v>
      </c>
      <c r="D11" s="50" t="n">
        <f aca="false">(D9+D10)*'Pricing Assumptions'!$C$9</f>
        <v>0</v>
      </c>
      <c r="E11" s="50" t="n">
        <f aca="false">(E9+E10)*'Pricing Assumptions'!$C$9</f>
        <v>0</v>
      </c>
      <c r="F11" s="50" t="n">
        <f aca="false">(F9+F10)*'Pricing Assumptions'!$C$9</f>
        <v>0</v>
      </c>
      <c r="G11" s="50" t="n">
        <f aca="false">(G9+G10)*'Pricing Assumptions'!$C$9</f>
        <v>0</v>
      </c>
      <c r="H11" s="50" t="n">
        <f aca="false">(H9+H10)*'Pricing Assumptions'!$C$9</f>
        <v>0</v>
      </c>
      <c r="I11" s="50" t="n">
        <f aca="false">(I9+I10)*'Pricing Assumptions'!$C$9</f>
        <v>5000</v>
      </c>
      <c r="J11" s="50" t="n">
        <f aca="false">(J9+J10)*'Pricing Assumptions'!$C$9</f>
        <v>5000</v>
      </c>
      <c r="K11" s="50" t="n">
        <f aca="false">(K9+K10)*'Pricing Assumptions'!$C$9</f>
        <v>10493.75</v>
      </c>
      <c r="L11" s="50" t="n">
        <f aca="false">(L9+L10)*'Pricing Assumptions'!$C$9</f>
        <v>16185</v>
      </c>
      <c r="M11" s="50" t="n">
        <f aca="false">(M9+M10)*'Pricing Assumptions'!$C$9</f>
        <v>22370</v>
      </c>
      <c r="N11" s="50" t="n">
        <f aca="false">(N9+N10)*'Pricing Assumptions'!$C$9</f>
        <v>28950</v>
      </c>
      <c r="O11" s="50" t="n">
        <f aca="false">(O9+O10)*'Pricing Assumptions'!$C$9</f>
        <v>36320</v>
      </c>
      <c r="P11" s="50" t="n">
        <f aca="false">(P9+P10)*'Pricing Assumptions'!$C$9</f>
        <v>44480</v>
      </c>
      <c r="Q11" s="50" t="n">
        <f aca="false">(Q9+Q10)*'Pricing Assumptions'!$C$9</f>
        <v>53430</v>
      </c>
      <c r="R11" s="50" t="n">
        <f aca="false">(R9+R10)*'Pricing Assumptions'!$C$9</f>
        <v>63170</v>
      </c>
      <c r="S11" s="50" t="n">
        <f aca="false">(S9+S10)*'Pricing Assumptions'!$C$9</f>
        <v>73700</v>
      </c>
      <c r="T11" s="50" t="n">
        <f aca="false">(T9+T10)*'Pricing Assumptions'!$C$9</f>
        <v>89625</v>
      </c>
    </row>
    <row r="12" customFormat="false" ht="15" hidden="false" customHeight="true" outlineLevel="0" collapsed="false">
      <c r="B12" s="21" t="s">
        <v>180</v>
      </c>
      <c r="C12" s="51" t="n">
        <f aca="false">C9+C10+C11</f>
        <v>0</v>
      </c>
      <c r="D12" s="51" t="n">
        <f aca="false">D9+D10+D11</f>
        <v>0</v>
      </c>
      <c r="E12" s="51" t="n">
        <f aca="false">E9+E10+E11</f>
        <v>0</v>
      </c>
      <c r="F12" s="51" t="n">
        <f aca="false">F9+F10+F11</f>
        <v>0</v>
      </c>
      <c r="G12" s="51" t="n">
        <f aca="false">G9+G10+G11</f>
        <v>0</v>
      </c>
      <c r="H12" s="51" t="n">
        <f aca="false">H9+H10+H11</f>
        <v>0</v>
      </c>
      <c r="I12" s="51" t="n">
        <f aca="false">I9+I10+I11</f>
        <v>25000</v>
      </c>
      <c r="J12" s="51" t="n">
        <f aca="false">J9+J10+J11</f>
        <v>25000</v>
      </c>
      <c r="K12" s="51" t="n">
        <f aca="false">K9+K10+K11</f>
        <v>52468.75</v>
      </c>
      <c r="L12" s="51" t="n">
        <f aca="false">L9+L10+L11</f>
        <v>80925</v>
      </c>
      <c r="M12" s="51" t="n">
        <f aca="false">M9+M10+M11</f>
        <v>111850</v>
      </c>
      <c r="N12" s="51" t="n">
        <f aca="false">N9+N10+N11</f>
        <v>144750</v>
      </c>
      <c r="O12" s="51" t="n">
        <f aca="false">O9+O10+O11</f>
        <v>181600</v>
      </c>
      <c r="P12" s="51" t="n">
        <f aca="false">P9+P10+P11</f>
        <v>222400</v>
      </c>
      <c r="Q12" s="51" t="n">
        <f aca="false">Q9+Q10+Q11</f>
        <v>267150</v>
      </c>
      <c r="R12" s="51" t="n">
        <f aca="false">R9+R10+R11</f>
        <v>315850</v>
      </c>
      <c r="S12" s="51" t="n">
        <f aca="false">S9+S10+S11</f>
        <v>368500</v>
      </c>
      <c r="T12" s="51" t="n">
        <f aca="false">T9+T10+T11</f>
        <v>448125</v>
      </c>
    </row>
    <row r="13" customFormat="false" ht="15" hidden="false" customHeight="true" outlineLevel="0" collapsed="false">
      <c r="B13" s="10" t="s">
        <v>181</v>
      </c>
      <c r="C13" s="52" t="n">
        <f aca="false">C12</f>
        <v>0</v>
      </c>
      <c r="D13" s="52" t="n">
        <f aca="false">D12</f>
        <v>0</v>
      </c>
      <c r="E13" s="52" t="n">
        <f aca="false">E12</f>
        <v>0</v>
      </c>
      <c r="F13" s="52" t="n">
        <f aca="false">F12</f>
        <v>0</v>
      </c>
      <c r="G13" s="52" t="n">
        <f aca="false">G12</f>
        <v>0</v>
      </c>
      <c r="H13" s="52" t="n">
        <f aca="false">H12</f>
        <v>0</v>
      </c>
      <c r="I13" s="52" t="n">
        <f aca="false">I12</f>
        <v>25000</v>
      </c>
      <c r="J13" s="52" t="n">
        <f aca="false">J12</f>
        <v>25000</v>
      </c>
      <c r="K13" s="52" t="n">
        <f aca="false">K12</f>
        <v>52468.75</v>
      </c>
      <c r="L13" s="52" t="n">
        <f aca="false">L12</f>
        <v>80925</v>
      </c>
      <c r="M13" s="52" t="n">
        <f aca="false">M12</f>
        <v>111850</v>
      </c>
      <c r="N13" s="52" t="n">
        <f aca="false">N12</f>
        <v>144750</v>
      </c>
      <c r="O13" s="52" t="n">
        <f aca="false">O12</f>
        <v>181600</v>
      </c>
      <c r="P13" s="52" t="n">
        <f aca="false">P12</f>
        <v>222400</v>
      </c>
      <c r="Q13" s="52" t="n">
        <f aca="false">Q12</f>
        <v>267150</v>
      </c>
      <c r="R13" s="52" t="n">
        <f aca="false">R12</f>
        <v>315850</v>
      </c>
      <c r="S13" s="52" t="n">
        <f aca="false">S12</f>
        <v>368500</v>
      </c>
      <c r="T13" s="52" t="n">
        <f aca="false">T12</f>
        <v>448125</v>
      </c>
    </row>
    <row r="14" customFormat="false" ht="15" hidden="false" customHeight="true" outlineLevel="0" collapsed="false">
      <c r="B14" s="10" t="s">
        <v>182</v>
      </c>
      <c r="C14" s="50" t="n">
        <f aca="false">Runway!C17</f>
        <v>166417</v>
      </c>
      <c r="D14" s="50" t="n">
        <f aca="false">Runway!D17</f>
        <v>166417</v>
      </c>
      <c r="E14" s="50" t="n">
        <f aca="false">Runway!E17</f>
        <v>174417</v>
      </c>
      <c r="F14" s="50" t="n">
        <f aca="false">Runway!F17</f>
        <v>207084</v>
      </c>
      <c r="G14" s="50" t="n">
        <f aca="false">Runway!G17</f>
        <v>213084</v>
      </c>
      <c r="H14" s="50" t="n">
        <f aca="false">Runway!H17</f>
        <v>213084</v>
      </c>
      <c r="I14" s="50" t="n">
        <f aca="false">Runway!I17</f>
        <v>213084</v>
      </c>
      <c r="J14" s="50" t="n">
        <f aca="false">Runway!J17</f>
        <v>218084</v>
      </c>
      <c r="K14" s="50" t="n">
        <f aca="false">Runway!K17</f>
        <v>218084</v>
      </c>
      <c r="L14" s="50" t="n">
        <f aca="false">Runway!L17</f>
        <v>213084</v>
      </c>
      <c r="M14" s="50" t="n">
        <f aca="false">Runway!M17</f>
        <v>213084</v>
      </c>
      <c r="N14" s="50" t="n">
        <f aca="false">Runway!N17</f>
        <v>213084</v>
      </c>
      <c r="O14" s="50" t="n">
        <f aca="false">Runway!O17</f>
        <v>213084</v>
      </c>
      <c r="P14" s="50" t="n">
        <f aca="false">Runway!P17</f>
        <v>213084</v>
      </c>
      <c r="Q14" s="50" t="n">
        <f aca="false">Runway!Q17</f>
        <v>213084</v>
      </c>
      <c r="R14" s="50" t="n">
        <f aca="false">Runway!R17</f>
        <v>213084</v>
      </c>
      <c r="S14" s="50" t="n">
        <f aca="false">Runway!S17</f>
        <v>213084</v>
      </c>
      <c r="T14" s="50" t="n">
        <f aca="false">Runway!T17</f>
        <v>213084</v>
      </c>
    </row>
    <row r="15" customFormat="false" ht="15" hidden="false" customHeight="true" outlineLevel="0" collapsed="false">
      <c r="B15" s="6" t="s">
        <v>183</v>
      </c>
      <c r="C15" s="53" t="n">
        <f aca="false">C14-C13</f>
        <v>166417</v>
      </c>
      <c r="D15" s="53" t="n">
        <f aca="false">D14-D13</f>
        <v>166417</v>
      </c>
      <c r="E15" s="53" t="n">
        <f aca="false">E14-E13</f>
        <v>174417</v>
      </c>
      <c r="F15" s="53" t="n">
        <f aca="false">F14-F13</f>
        <v>207084</v>
      </c>
      <c r="G15" s="53" t="n">
        <f aca="false">G14-G13</f>
        <v>213084</v>
      </c>
      <c r="H15" s="53" t="n">
        <f aca="false">H14-H13</f>
        <v>213084</v>
      </c>
      <c r="I15" s="53" t="n">
        <f aca="false">I14-I13</f>
        <v>188084</v>
      </c>
      <c r="J15" s="53" t="n">
        <f aca="false">J14-J13</f>
        <v>193084</v>
      </c>
      <c r="K15" s="53" t="n">
        <f aca="false">K14-K13</f>
        <v>165615.25</v>
      </c>
      <c r="L15" s="53" t="n">
        <f aca="false">L14-L13</f>
        <v>132159</v>
      </c>
      <c r="M15" s="53" t="n">
        <f aca="false">M14-M13</f>
        <v>101234</v>
      </c>
      <c r="N15" s="53" t="n">
        <f aca="false">N14-N13</f>
        <v>68334</v>
      </c>
      <c r="O15" s="53" t="n">
        <f aca="false">O14-O13</f>
        <v>31484</v>
      </c>
      <c r="P15" s="53" t="n">
        <f aca="false">P14-P13</f>
        <v>-9316</v>
      </c>
      <c r="Q15" s="53" t="n">
        <f aca="false">Q14-Q13</f>
        <v>-54066</v>
      </c>
      <c r="R15" s="53" t="n">
        <f aca="false">R14-R13</f>
        <v>-102766</v>
      </c>
      <c r="S15" s="53" t="n">
        <f aca="false">S14-S13</f>
        <v>-155416</v>
      </c>
      <c r="T15" s="53" t="n">
        <f aca="false">T14-T13</f>
        <v>-235041</v>
      </c>
    </row>
    <row r="17" customFormat="false" ht="15" hidden="false" customHeight="true" outlineLevel="0" collapsed="false">
      <c r="B17" s="41" t="s">
        <v>184</v>
      </c>
      <c r="C17" s="41"/>
      <c r="D17" s="41"/>
      <c r="E17" s="41"/>
    </row>
    <row r="18" customFormat="false" ht="15" hidden="false" customHeight="true" outlineLevel="0" collapsed="false">
      <c r="B18" s="6" t="s">
        <v>185</v>
      </c>
      <c r="C18" s="54" t="n">
        <f aca="false">T12*12</f>
        <v>5377500</v>
      </c>
    </row>
    <row r="19" customFormat="false" ht="15" hidden="false" customHeight="true" outlineLevel="0" collapsed="false">
      <c r="B19" s="6" t="s">
        <v>186</v>
      </c>
      <c r="C19" s="52" t="n">
        <f aca="false">SUM(C13:T13)</f>
        <v>2243618.75</v>
      </c>
    </row>
    <row r="20" customFormat="false" ht="15" hidden="false" customHeight="true" outlineLevel="0" collapsed="false">
      <c r="B20" s="6" t="s">
        <v>187</v>
      </c>
      <c r="C20" s="52" t="n">
        <f aca="false">SUM(C14:T14)</f>
        <v>3707511</v>
      </c>
    </row>
    <row r="21" customFormat="false" ht="15" hidden="false" customHeight="true" outlineLevel="0" collapsed="false">
      <c r="B21" s="6" t="s">
        <v>188</v>
      </c>
      <c r="C21" s="55" t="n">
        <f aca="false">C19/C20</f>
        <v>0.605154981333838</v>
      </c>
    </row>
    <row r="22" customFormat="false" ht="15" hidden="false" customHeight="true" outlineLevel="0" collapsed="false">
      <c r="B22" s="6" t="s">
        <v>189</v>
      </c>
      <c r="C22" s="56" t="str">
        <f aca="false">"Month "&amp;MATCH(TRUE(),INDEX(C13:T13&gt;0,0),0)</f>
        <v>Month 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8"/>
    <col collapsed="false" customWidth="true" hidden="false" outlineLevel="0" max="5" min="3" style="1" width="16"/>
    <col collapsed="false" customWidth="true" hidden="false" outlineLevel="0" max="6" min="6" style="1" width="34"/>
  </cols>
  <sheetData>
    <row r="2" customFormat="false" ht="19.5" hidden="false" customHeight="true" outlineLevel="0" collapsed="false">
      <c r="B2" s="2" t="s">
        <v>0</v>
      </c>
    </row>
    <row r="3" customFormat="false" ht="15" hidden="false" customHeight="true" outlineLevel="0" collapsed="false">
      <c r="B3" s="3" t="s">
        <v>190</v>
      </c>
    </row>
    <row r="4" customFormat="false" ht="15" hidden="false" customHeight="true" outlineLevel="0" collapsed="false">
      <c r="B4" s="43" t="s">
        <v>191</v>
      </c>
    </row>
    <row r="6" customFormat="false" ht="15" hidden="false" customHeight="true" outlineLevel="0" collapsed="false">
      <c r="B6" s="41" t="s">
        <v>192</v>
      </c>
      <c r="C6" s="57"/>
      <c r="D6" s="57"/>
      <c r="E6" s="57"/>
      <c r="F6" s="57"/>
    </row>
    <row r="7" customFormat="false" ht="15" hidden="false" customHeight="true" outlineLevel="0" collapsed="false">
      <c r="B7" s="10" t="s">
        <v>193</v>
      </c>
      <c r="C7" s="50" t="n">
        <f aca="false">'Pricing Assumptions'!$C$12</f>
        <v>3750000</v>
      </c>
    </row>
    <row r="8" customFormat="false" ht="15" hidden="false" customHeight="true" outlineLevel="0" collapsed="false">
      <c r="B8" s="10" t="s">
        <v>194</v>
      </c>
      <c r="C8" s="50" t="n">
        <f aca="false">'Pricing Assumptions'!$C$13</f>
        <v>19000000</v>
      </c>
    </row>
    <row r="9" customFormat="false" ht="15" hidden="false" customHeight="true" outlineLevel="0" collapsed="false">
      <c r="B9" s="10" t="s">
        <v>195</v>
      </c>
      <c r="C9" s="55" t="n">
        <f aca="false">C7/C8</f>
        <v>0.197368421052632</v>
      </c>
    </row>
    <row r="10" customFormat="false" ht="15" hidden="false" customHeight="true" outlineLevel="0" collapsed="false">
      <c r="B10" s="10" t="s">
        <v>196</v>
      </c>
      <c r="C10" s="58" t="n">
        <f aca="false">'Pricing Assumptions'!$C$14</f>
        <v>0.55</v>
      </c>
    </row>
    <row r="11" customFormat="false" ht="15" hidden="false" customHeight="true" outlineLevel="0" collapsed="false">
      <c r="B11" s="6" t="s">
        <v>197</v>
      </c>
      <c r="C11" s="59" t="n">
        <f aca="false">C9*C10</f>
        <v>0.108552631578947</v>
      </c>
    </row>
    <row r="14" customFormat="false" ht="15" hidden="false" customHeight="true" outlineLevel="0" collapsed="false">
      <c r="B14" s="41" t="s">
        <v>198</v>
      </c>
      <c r="C14" s="57"/>
      <c r="D14" s="57"/>
      <c r="E14" s="57"/>
      <c r="F14" s="57"/>
    </row>
    <row r="15" customFormat="false" ht="15" hidden="false" customHeight="true" outlineLevel="0" collapsed="false">
      <c r="C15" s="60" t="s">
        <v>199</v>
      </c>
      <c r="D15" s="60" t="s">
        <v>200</v>
      </c>
      <c r="E15" s="60" t="s">
        <v>201</v>
      </c>
    </row>
    <row r="16" customFormat="false" ht="15" hidden="false" customHeight="true" outlineLevel="0" collapsed="false">
      <c r="B16" s="6" t="s">
        <v>202</v>
      </c>
      <c r="C16" s="61" t="n">
        <v>3000000</v>
      </c>
      <c r="D16" s="62" t="n">
        <f aca="false">'Revenue Ramp'!$C$18</f>
        <v>5377500</v>
      </c>
      <c r="E16" s="61" t="n">
        <v>10000000</v>
      </c>
      <c r="F16" s="60" t="s">
        <v>203</v>
      </c>
    </row>
    <row r="17" customFormat="false" ht="15" hidden="false" customHeight="true" outlineLevel="0" collapsed="false">
      <c r="B17" s="10" t="s">
        <v>204</v>
      </c>
      <c r="C17" s="63" t="n">
        <f aca="false">C$16*$F17*$C$11/$C$7</f>
        <v>0.694736842105263</v>
      </c>
      <c r="D17" s="63" t="n">
        <f aca="false">D$16*$F17*$C$11/$C$7</f>
        <v>1.24531578947368</v>
      </c>
      <c r="E17" s="63" t="n">
        <f aca="false">E$16*$F17*$C$11/$C$7</f>
        <v>2.31578947368421</v>
      </c>
      <c r="F17" s="64" t="n">
        <f aca="false">'Pricing Assumptions'!$C$15</f>
        <v>8</v>
      </c>
    </row>
    <row r="18" customFormat="false" ht="15" hidden="false" customHeight="true" outlineLevel="0" collapsed="false">
      <c r="B18" s="10" t="s">
        <v>205</v>
      </c>
      <c r="C18" s="63" t="n">
        <f aca="false">C$16*$F18*$C$11/$C$7</f>
        <v>1.30263157894737</v>
      </c>
      <c r="D18" s="65" t="n">
        <f aca="false">D$16*$F18*$C$11/$C$7</f>
        <v>2.33496710526316</v>
      </c>
      <c r="E18" s="63" t="n">
        <f aca="false">E$16*$F18*$C$11/$C$7</f>
        <v>4.3421052631579</v>
      </c>
      <c r="F18" s="64" t="n">
        <f aca="false">'Pricing Assumptions'!$C$16</f>
        <v>15</v>
      </c>
    </row>
    <row r="19" customFormat="false" ht="15" hidden="false" customHeight="true" outlineLevel="0" collapsed="false">
      <c r="B19" s="10" t="s">
        <v>206</v>
      </c>
      <c r="C19" s="63" t="n">
        <f aca="false">C$16*$F19*$C$11/$C$7</f>
        <v>1.91052631578947</v>
      </c>
      <c r="D19" s="63" t="n">
        <f aca="false">D$16*$F19*$C$11/$C$7</f>
        <v>3.42461842105263</v>
      </c>
      <c r="E19" s="63" t="n">
        <f aca="false">E$16*$F19*$C$11/$C$7</f>
        <v>6.36842105263158</v>
      </c>
      <c r="F19" s="64" t="n">
        <f aca="false">'Pricing Assumptions'!$C$17</f>
        <v>22</v>
      </c>
    </row>
    <row r="22" customFormat="false" ht="15" hidden="false" customHeight="true" outlineLevel="0" collapsed="false">
      <c r="B22" s="41" t="s">
        <v>207</v>
      </c>
      <c r="C22" s="57"/>
      <c r="D22" s="57"/>
      <c r="E22" s="57"/>
      <c r="F22" s="57"/>
    </row>
    <row r="23" customFormat="false" ht="15" hidden="false" customHeight="true" outlineLevel="0" collapsed="false">
      <c r="B23" s="10" t="s">
        <v>208</v>
      </c>
      <c r="C23" s="52" t="n">
        <f aca="false">(1*C7)/(C11*'Pricing Assumptions'!$C$16)</f>
        <v>2303030.3030303</v>
      </c>
    </row>
    <row r="24" customFormat="false" ht="15" hidden="false" customHeight="true" outlineLevel="0" collapsed="false">
      <c r="B24" s="10" t="s">
        <v>209</v>
      </c>
      <c r="C24" s="54" t="n">
        <f aca="false">(3*C7)/(C11*'Pricing Assumptions'!$C$16)</f>
        <v>6909090.90909091</v>
      </c>
    </row>
    <row r="25" customFormat="false" ht="15" hidden="false" customHeight="true" outlineLevel="0" collapsed="false">
      <c r="B25" s="10" t="s">
        <v>210</v>
      </c>
      <c r="C25" s="52" t="n">
        <f aca="false">(5*C7)/(C11*'Pricing Assumptions'!$C$16)</f>
        <v>11515151.5151515</v>
      </c>
    </row>
    <row r="27" customFormat="false" ht="15" hidden="false" customHeight="true" outlineLevel="0" collapsed="false">
      <c r="B27" s="66" t="s">
        <v>211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40"/>
    <col collapsed="false" customWidth="true" hidden="false" outlineLevel="0" max="6" min="3" style="1" width="16"/>
    <col collapsed="false" customWidth="true" hidden="false" outlineLevel="0" max="7" min="7" style="1" width="14"/>
  </cols>
  <sheetData>
    <row r="2" customFormat="false" ht="19.5" hidden="false" customHeight="true" outlineLevel="0" collapsed="false">
      <c r="B2" s="2" t="s">
        <v>0</v>
      </c>
    </row>
    <row r="3" customFormat="false" ht="15" hidden="false" customHeight="true" outlineLevel="0" collapsed="false">
      <c r="B3" s="3" t="s">
        <v>212</v>
      </c>
    </row>
    <row r="4" customFormat="false" ht="15" hidden="false" customHeight="true" outlineLevel="0" collapsed="false">
      <c r="B4" s="43" t="s">
        <v>213</v>
      </c>
    </row>
    <row r="6" customFormat="false" ht="15" hidden="false" customHeight="true" outlineLevel="0" collapsed="false">
      <c r="B6" s="41" t="s">
        <v>214</v>
      </c>
      <c r="C6" s="57"/>
      <c r="D6" s="57"/>
    </row>
    <row r="7" customFormat="false" ht="15" hidden="false" customHeight="true" outlineLevel="0" collapsed="false">
      <c r="B7" s="10" t="s">
        <v>6</v>
      </c>
      <c r="C7" s="50" t="n">
        <f aca="false">'Pricing Assumptions'!$C$12</f>
        <v>3750000</v>
      </c>
    </row>
    <row r="8" customFormat="false" ht="15" hidden="false" customHeight="true" outlineLevel="0" collapsed="false">
      <c r="B8" s="10" t="s">
        <v>194</v>
      </c>
      <c r="C8" s="50" t="n">
        <f aca="false">'Pricing Assumptions'!$C$13</f>
        <v>19000000</v>
      </c>
    </row>
    <row r="9" customFormat="false" ht="15" hidden="false" customHeight="true" outlineLevel="0" collapsed="false">
      <c r="B9" s="10" t="s">
        <v>215</v>
      </c>
      <c r="C9" s="44" t="n">
        <v>250000</v>
      </c>
    </row>
    <row r="10" customFormat="false" ht="15" hidden="false" customHeight="true" outlineLevel="0" collapsed="false">
      <c r="B10" s="10" t="s">
        <v>196</v>
      </c>
      <c r="C10" s="58" t="n">
        <f aca="false">'Pricing Assumptions'!$C$14</f>
        <v>0.55</v>
      </c>
    </row>
    <row r="11" customFormat="false" ht="15" hidden="false" customHeight="true" outlineLevel="0" collapsed="false">
      <c r="B11" s="10" t="s">
        <v>216</v>
      </c>
      <c r="C11" s="50" t="n">
        <f aca="false">'Revenue Ramp'!$C$18</f>
        <v>5377500</v>
      </c>
    </row>
    <row r="12" customFormat="false" ht="15" hidden="false" customHeight="true" outlineLevel="0" collapsed="false">
      <c r="B12" s="10" t="s">
        <v>217</v>
      </c>
      <c r="C12" s="67" t="n">
        <f aca="false">'Pricing Assumptions'!$C$16</f>
        <v>15</v>
      </c>
    </row>
    <row r="14" customFormat="false" ht="15" hidden="false" customHeight="true" outlineLevel="0" collapsed="false">
      <c r="B14" s="41" t="s">
        <v>218</v>
      </c>
      <c r="C14" s="57"/>
      <c r="D14" s="57"/>
    </row>
    <row r="15" customFormat="false" ht="15" hidden="false" customHeight="true" outlineLevel="0" collapsed="false">
      <c r="B15" s="10" t="s">
        <v>219</v>
      </c>
      <c r="C15" s="55" t="n">
        <f aca="false">C7/C8</f>
        <v>0.197368421052632</v>
      </c>
    </row>
    <row r="16" customFormat="false" ht="15" hidden="false" customHeight="true" outlineLevel="0" collapsed="false">
      <c r="B16" s="6" t="s">
        <v>220</v>
      </c>
      <c r="C16" s="59" t="n">
        <f aca="false">C15*C10</f>
        <v>0.108552631578947</v>
      </c>
    </row>
    <row r="17" customFormat="false" ht="15" hidden="false" customHeight="true" outlineLevel="0" collapsed="false">
      <c r="B17" s="10" t="s">
        <v>221</v>
      </c>
      <c r="C17" s="52" t="n">
        <f aca="false">C11*C12</f>
        <v>80662500</v>
      </c>
    </row>
    <row r="18" customFormat="false" ht="15" hidden="false" customHeight="true" outlineLevel="0" collapsed="false">
      <c r="B18" s="6" t="s">
        <v>222</v>
      </c>
      <c r="C18" s="68" t="n">
        <f aca="false">ROUNDDOWN(C7/C9,0)</f>
        <v>15</v>
      </c>
    </row>
    <row r="20" customFormat="false" ht="15" hidden="false" customHeight="true" outlineLevel="0" collapsed="false">
      <c r="B20" s="41" t="s">
        <v>223</v>
      </c>
      <c r="C20" s="57"/>
      <c r="D20" s="57"/>
      <c r="E20" s="57"/>
      <c r="F20" s="57"/>
    </row>
    <row r="21" customFormat="false" ht="15" hidden="false" customHeight="true" outlineLevel="0" collapsed="false">
      <c r="B21" s="10" t="s">
        <v>224</v>
      </c>
      <c r="C21" s="52" t="n">
        <f aca="false">C9</f>
        <v>250000</v>
      </c>
    </row>
    <row r="22" customFormat="false" ht="15" hidden="false" customHeight="true" outlineLevel="0" collapsed="false">
      <c r="B22" s="10" t="s">
        <v>225</v>
      </c>
      <c r="C22" s="69" t="n">
        <f aca="false">C21/C8</f>
        <v>0.0131578947368421</v>
      </c>
    </row>
    <row r="23" customFormat="false" ht="15" hidden="false" customHeight="true" outlineLevel="0" collapsed="false">
      <c r="B23" s="6" t="s">
        <v>226</v>
      </c>
      <c r="C23" s="70" t="n">
        <f aca="false">C22*C10</f>
        <v>0.00723684210526316</v>
      </c>
    </row>
    <row r="24" customFormat="false" ht="15" hidden="false" customHeight="true" outlineLevel="0" collapsed="false">
      <c r="B24" s="10" t="s">
        <v>227</v>
      </c>
      <c r="C24" s="52" t="n">
        <f aca="false">C23*C17</f>
        <v>583741.776315789</v>
      </c>
    </row>
    <row r="25" customFormat="false" ht="15" hidden="false" customHeight="true" outlineLevel="0" collapsed="false">
      <c r="B25" s="10" t="s">
        <v>228</v>
      </c>
      <c r="C25" s="52" t="n">
        <f aca="false">C24-C21</f>
        <v>333741.776315789</v>
      </c>
    </row>
    <row r="26" customFormat="false" ht="15" hidden="false" customHeight="true" outlineLevel="0" collapsed="false">
      <c r="B26" s="6" t="s">
        <v>229</v>
      </c>
      <c r="C26" s="71" t="n">
        <f aca="false">C24/C21</f>
        <v>2.33496710526316</v>
      </c>
    </row>
    <row r="28" customFormat="false" ht="15" hidden="false" customHeight="true" outlineLevel="0" collapsed="false">
      <c r="B28" s="41" t="s">
        <v>230</v>
      </c>
      <c r="C28" s="57"/>
      <c r="D28" s="57"/>
      <c r="E28" s="57"/>
      <c r="F28" s="57"/>
      <c r="G28" s="57"/>
    </row>
    <row r="29" customFormat="false" ht="15" hidden="false" customHeight="true" outlineLevel="0" collapsed="false">
      <c r="B29" s="72" t="s">
        <v>231</v>
      </c>
      <c r="C29" s="73" t="s">
        <v>232</v>
      </c>
      <c r="D29" s="73" t="s">
        <v>233</v>
      </c>
      <c r="E29" s="73" t="s">
        <v>234</v>
      </c>
      <c r="F29" s="73" t="s">
        <v>235</v>
      </c>
      <c r="G29" s="73" t="s">
        <v>236</v>
      </c>
    </row>
    <row r="30" customFormat="false" ht="15" hidden="false" customHeight="true" outlineLevel="0" collapsed="false">
      <c r="B30" s="44" t="n">
        <v>500000</v>
      </c>
      <c r="C30" s="74" t="n">
        <f aca="false">ROUNDDOWN($C$7/B30,0)</f>
        <v>7</v>
      </c>
      <c r="D30" s="75" t="n">
        <f aca="false">B30/$C$8</f>
        <v>0.0263157894736842</v>
      </c>
      <c r="E30" s="75" t="n">
        <f aca="false">D30*$C$10</f>
        <v>0.0144736842105263</v>
      </c>
      <c r="F30" s="76" t="n">
        <f aca="false">E30*$C$17</f>
        <v>1167483.55263158</v>
      </c>
      <c r="G30" s="63" t="n">
        <f aca="false">F30/B30</f>
        <v>2.33496710526316</v>
      </c>
    </row>
    <row r="31" customFormat="false" ht="15" hidden="false" customHeight="true" outlineLevel="0" collapsed="false">
      <c r="B31" s="44" t="n">
        <v>250000</v>
      </c>
      <c r="C31" s="77" t="n">
        <f aca="false">ROUNDDOWN($C$7/B31,0)</f>
        <v>15</v>
      </c>
      <c r="D31" s="78" t="n">
        <f aca="false">B31/$C$8</f>
        <v>0.0131578947368421</v>
      </c>
      <c r="E31" s="78" t="n">
        <f aca="false">D31*$C$10</f>
        <v>0.00723684210526316</v>
      </c>
      <c r="F31" s="79" t="n">
        <f aca="false">E31*$C$17</f>
        <v>583741.776315789</v>
      </c>
      <c r="G31" s="80" t="n">
        <f aca="false">F31/B31</f>
        <v>2.33496710526316</v>
      </c>
    </row>
    <row r="32" customFormat="false" ht="15" hidden="false" customHeight="true" outlineLevel="0" collapsed="false">
      <c r="B32" s="44" t="n">
        <v>150000</v>
      </c>
      <c r="C32" s="74" t="n">
        <f aca="false">ROUNDDOWN($C$7/B32,0)</f>
        <v>25</v>
      </c>
      <c r="D32" s="75" t="n">
        <f aca="false">B32/$C$8</f>
        <v>0.00789473684210526</v>
      </c>
      <c r="E32" s="75" t="n">
        <f aca="false">D32*$C$10</f>
        <v>0.0043421052631579</v>
      </c>
      <c r="F32" s="76" t="n">
        <f aca="false">E32*$C$17</f>
        <v>350245.065789474</v>
      </c>
      <c r="G32" s="63" t="n">
        <f aca="false">F32/B32</f>
        <v>2.33496710526316</v>
      </c>
    </row>
    <row r="33" customFormat="false" ht="15" hidden="false" customHeight="true" outlineLevel="0" collapsed="false">
      <c r="B33" s="44" t="n">
        <v>100000</v>
      </c>
      <c r="C33" s="77" t="n">
        <f aca="false">ROUNDDOWN($C$7/B33,0)</f>
        <v>37</v>
      </c>
      <c r="D33" s="78" t="n">
        <f aca="false">B33/$C$8</f>
        <v>0.00526315789473684</v>
      </c>
      <c r="E33" s="78" t="n">
        <f aca="false">D33*$C$10</f>
        <v>0.00289473684210526</v>
      </c>
      <c r="F33" s="79" t="n">
        <f aca="false">E33*$C$17</f>
        <v>233496.710526316</v>
      </c>
      <c r="G33" s="80" t="n">
        <f aca="false">F33/B33</f>
        <v>2.33496710526316</v>
      </c>
    </row>
    <row r="35" customFormat="false" ht="15" hidden="false" customHeight="true" outlineLevel="0" collapsed="false">
      <c r="B35" s="81" t="s">
        <v>237</v>
      </c>
    </row>
    <row r="36" customFormat="false" ht="15" hidden="false" customHeight="true" outlineLevel="0" collapsed="false">
      <c r="B36" s="41" t="s">
        <v>238</v>
      </c>
      <c r="C36" s="57"/>
      <c r="D36" s="57"/>
    </row>
    <row r="37" customFormat="false" ht="15" hidden="false" customHeight="true" outlineLevel="0" collapsed="false">
      <c r="B37" s="10" t="s">
        <v>239</v>
      </c>
      <c r="C37" s="52" t="n">
        <f aca="false">C7</f>
        <v>3750000</v>
      </c>
    </row>
    <row r="38" customFormat="false" ht="15" hidden="false" customHeight="true" outlineLevel="0" collapsed="false">
      <c r="B38" s="6" t="s">
        <v>240</v>
      </c>
      <c r="C38" s="53" t="n">
        <f aca="false">C16*C17</f>
        <v>8756126.64473684</v>
      </c>
    </row>
    <row r="39" customFormat="false" ht="15" hidden="false" customHeight="true" outlineLevel="0" collapsed="false">
      <c r="B39" s="10" t="s">
        <v>241</v>
      </c>
      <c r="C39" s="52" t="n">
        <f aca="false">3*C37</f>
        <v>11250000</v>
      </c>
    </row>
    <row r="40" customFormat="false" ht="15" hidden="false" customHeight="true" outlineLevel="0" collapsed="false">
      <c r="B40" s="6" t="s">
        <v>242</v>
      </c>
      <c r="C40" s="56" t="str">
        <f aca="false">IF(C38&gt;=C39,"YES — covered","Short by "&amp;TEXT(C39-C38,"$#,##0"))</f>
        <v>Short by $2,493,873</v>
      </c>
    </row>
    <row r="42" customFormat="false" ht="15" hidden="false" customHeight="true" outlineLevel="0" collapsed="false">
      <c r="B42" s="41" t="s">
        <v>243</v>
      </c>
      <c r="C42" s="57"/>
      <c r="D42" s="57"/>
    </row>
    <row r="43" customFormat="false" ht="15" hidden="false" customHeight="true" outlineLevel="0" collapsed="false">
      <c r="B43" s="72" t="s">
        <v>244</v>
      </c>
      <c r="C43" s="73" t="s">
        <v>245</v>
      </c>
      <c r="D43" s="73" t="s">
        <v>246</v>
      </c>
    </row>
    <row r="44" customFormat="false" ht="15" hidden="false" customHeight="true" outlineLevel="0" collapsed="false">
      <c r="B44" s="6" t="s">
        <v>247</v>
      </c>
      <c r="C44" s="82" t="s">
        <v>248</v>
      </c>
      <c r="D44" s="83" t="n">
        <f aca="false">1-D45-D46</f>
        <v>0.702631578947369</v>
      </c>
    </row>
    <row r="45" customFormat="false" ht="15" hidden="false" customHeight="true" outlineLevel="0" collapsed="false">
      <c r="B45" s="6" t="s">
        <v>249</v>
      </c>
      <c r="C45" s="82" t="s">
        <v>248</v>
      </c>
      <c r="D45" s="84" t="n">
        <v>0.1</v>
      </c>
    </row>
    <row r="46" customFormat="false" ht="15" hidden="false" customHeight="true" outlineLevel="0" collapsed="false">
      <c r="B46" s="6" t="s">
        <v>250</v>
      </c>
      <c r="C46" s="76" t="n">
        <f aca="false">C7</f>
        <v>3750000</v>
      </c>
      <c r="D46" s="83" t="n">
        <f aca="false">C15</f>
        <v>0.197368421052632</v>
      </c>
    </row>
    <row r="47" customFormat="false" ht="15" hidden="false" customHeight="true" outlineLevel="0" collapsed="false">
      <c r="B47" s="10" t="s">
        <v>251</v>
      </c>
      <c r="C47" s="76" t="n">
        <v>66000</v>
      </c>
      <c r="D47" s="83" t="n">
        <f aca="false">C47/C8</f>
        <v>0.00347368421052632</v>
      </c>
    </row>
    <row r="48" customFormat="false" ht="15" hidden="false" customHeight="true" outlineLevel="0" collapsed="false">
      <c r="B48" s="21" t="s">
        <v>28</v>
      </c>
      <c r="C48" s="85" t="n">
        <f aca="false">C46</f>
        <v>3750000</v>
      </c>
      <c r="D48" s="86" t="n">
        <f aca="false">D44+D45+D46</f>
        <v>1</v>
      </c>
    </row>
    <row r="49" customFormat="false" ht="15" hidden="false" customHeight="true" outlineLevel="0" collapsed="false">
      <c r="B49" s="81" t="s">
        <v>252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44"/>
    <col collapsed="false" customWidth="true" hidden="false" outlineLevel="0" max="5" min="3" style="1" width="16"/>
    <col collapsed="false" customWidth="true" hidden="false" outlineLevel="0" max="6" min="6" style="1" width="34"/>
  </cols>
  <sheetData>
    <row r="2" customFormat="false" ht="19.5" hidden="false" customHeight="true" outlineLevel="0" collapsed="false">
      <c r="B2" s="2" t="s">
        <v>0</v>
      </c>
    </row>
    <row r="3" customFormat="false" ht="15" hidden="false" customHeight="true" outlineLevel="0" collapsed="false">
      <c r="B3" s="3" t="s">
        <v>253</v>
      </c>
    </row>
    <row r="4" customFormat="false" ht="15" hidden="false" customHeight="true" outlineLevel="0" collapsed="false">
      <c r="B4" s="43" t="s">
        <v>254</v>
      </c>
    </row>
    <row r="6" customFormat="false" ht="15" hidden="false" customHeight="true" outlineLevel="0" collapsed="false">
      <c r="B6" s="41" t="s">
        <v>255</v>
      </c>
      <c r="C6" s="57"/>
      <c r="D6" s="57"/>
      <c r="E6" s="57"/>
      <c r="F6" s="57"/>
    </row>
    <row r="7" customFormat="false" ht="15" hidden="false" customHeight="true" outlineLevel="0" collapsed="false">
      <c r="B7" s="10" t="s">
        <v>256</v>
      </c>
      <c r="C7" s="52" t="n">
        <v>20000000</v>
      </c>
      <c r="F7" s="43" t="s">
        <v>257</v>
      </c>
    </row>
    <row r="8" customFormat="false" ht="15" hidden="false" customHeight="true" outlineLevel="0" collapsed="false">
      <c r="B8" s="10" t="s">
        <v>258</v>
      </c>
      <c r="C8" s="52" t="n">
        <v>19000000</v>
      </c>
      <c r="F8" s="43" t="s">
        <v>259</v>
      </c>
    </row>
    <row r="9" customFormat="false" ht="15" hidden="false" customHeight="true" outlineLevel="0" collapsed="false">
      <c r="B9" s="10" t="s">
        <v>260</v>
      </c>
      <c r="C9" s="52" t="n">
        <v>13800000</v>
      </c>
      <c r="F9" s="43" t="s">
        <v>261</v>
      </c>
    </row>
    <row r="10" customFormat="false" ht="15" hidden="false" customHeight="true" outlineLevel="0" collapsed="false">
      <c r="B10" s="10" t="s">
        <v>262</v>
      </c>
      <c r="C10" s="52" t="n">
        <v>80500000</v>
      </c>
      <c r="F10" s="43" t="s">
        <v>263</v>
      </c>
    </row>
    <row r="11" customFormat="false" ht="15" hidden="false" customHeight="true" outlineLevel="0" collapsed="false">
      <c r="B11" s="10" t="s">
        <v>264</v>
      </c>
      <c r="C11" s="52" t="n">
        <v>4000000</v>
      </c>
      <c r="F11" s="43" t="s">
        <v>265</v>
      </c>
    </row>
    <row r="12" customFormat="false" ht="15" hidden="false" customHeight="true" outlineLevel="0" collapsed="false">
      <c r="B12" s="10" t="s">
        <v>266</v>
      </c>
      <c r="C12" s="55" t="n">
        <v>0.2</v>
      </c>
      <c r="F12" s="43" t="s">
        <v>267</v>
      </c>
    </row>
    <row r="13" customFormat="false" ht="15" hidden="false" customHeight="true" outlineLevel="0" collapsed="false">
      <c r="B13" s="6" t="s">
        <v>268</v>
      </c>
      <c r="C13" s="54" t="n">
        <f aca="false">'Pricing Assumptions'!$C$12/0.2</f>
        <v>18750000</v>
      </c>
      <c r="F13" s="43" t="s">
        <v>269</v>
      </c>
    </row>
    <row r="15" customFormat="false" ht="15" hidden="false" customHeight="true" outlineLevel="0" collapsed="false">
      <c r="B15" s="41" t="s">
        <v>270</v>
      </c>
      <c r="C15" s="57"/>
      <c r="D15" s="57"/>
      <c r="E15" s="57"/>
      <c r="F15" s="57"/>
    </row>
    <row r="16" customFormat="false" ht="15" hidden="false" customHeight="true" outlineLevel="0" collapsed="false">
      <c r="B16" s="10" t="s">
        <v>271</v>
      </c>
      <c r="C16" s="50" t="n">
        <f aca="false">'Revenue Ramp'!$C$18</f>
        <v>5377500</v>
      </c>
      <c r="F16" s="43" t="s">
        <v>272</v>
      </c>
    </row>
    <row r="17" customFormat="false" ht="15" hidden="false" customHeight="true" outlineLevel="0" collapsed="false">
      <c r="B17" s="10" t="s">
        <v>273</v>
      </c>
      <c r="C17" s="52" t="n">
        <v>50000000</v>
      </c>
      <c r="F17" s="43" t="s">
        <v>274</v>
      </c>
    </row>
    <row r="18" customFormat="false" ht="15" hidden="false" customHeight="true" outlineLevel="0" collapsed="false">
      <c r="B18" s="10" t="s">
        <v>275</v>
      </c>
      <c r="C18" s="87" t="n">
        <v>2.6</v>
      </c>
      <c r="F18" s="43" t="s">
        <v>261</v>
      </c>
    </row>
    <row r="19" customFormat="false" ht="15" hidden="false" customHeight="true" outlineLevel="0" collapsed="false">
      <c r="B19" s="6" t="s">
        <v>276</v>
      </c>
      <c r="C19" s="54" t="n">
        <f aca="false">C17/C18</f>
        <v>19230769.2307692</v>
      </c>
    </row>
    <row r="21" customFormat="false" ht="15" hidden="false" customHeight="true" outlineLevel="0" collapsed="false">
      <c r="B21" s="41" t="s">
        <v>277</v>
      </c>
      <c r="C21" s="57"/>
      <c r="D21" s="57"/>
      <c r="E21" s="57"/>
      <c r="F21" s="57"/>
    </row>
    <row r="22" customFormat="false" ht="15" hidden="false" customHeight="true" outlineLevel="0" collapsed="false">
      <c r="C22" s="60" t="s">
        <v>199</v>
      </c>
      <c r="D22" s="60" t="s">
        <v>278</v>
      </c>
      <c r="E22" s="60" t="s">
        <v>279</v>
      </c>
    </row>
    <row r="23" customFormat="false" ht="15" hidden="false" customHeight="true" outlineLevel="0" collapsed="false">
      <c r="B23" s="6" t="s">
        <v>194</v>
      </c>
      <c r="C23" s="61" t="n">
        <v>15000000</v>
      </c>
      <c r="D23" s="61" t="n">
        <v>19000000</v>
      </c>
      <c r="E23" s="61" t="n">
        <v>22000000</v>
      </c>
    </row>
    <row r="24" customFormat="false" ht="15" hidden="false" customHeight="true" outlineLevel="0" collapsed="false">
      <c r="B24" s="6" t="s">
        <v>280</v>
      </c>
      <c r="C24" s="88" t="n">
        <f aca="false">'Pricing Assumptions'!$C$12/C23</f>
        <v>0.25</v>
      </c>
      <c r="D24" s="88" t="n">
        <f aca="false">'Pricing Assumptions'!$C$12/D23</f>
        <v>0.197368421052632</v>
      </c>
      <c r="E24" s="88" t="n">
        <f aca="false">'Pricing Assumptions'!$C$12/E23</f>
        <v>0.170454545454545</v>
      </c>
    </row>
    <row r="25" customFormat="false" ht="15" hidden="false" customHeight="true" outlineLevel="0" collapsed="false">
      <c r="B25" s="43" t="s">
        <v>281</v>
      </c>
    </row>
    <row r="27" customFormat="false" ht="15" hidden="false" customHeight="true" outlineLevel="0" collapsed="false">
      <c r="B27" s="41" t="s">
        <v>282</v>
      </c>
      <c r="C27" s="57"/>
      <c r="D27" s="57"/>
      <c r="E27" s="57"/>
      <c r="F27" s="57"/>
    </row>
    <row r="28" customFormat="false" ht="15" hidden="false" customHeight="true" outlineLevel="0" collapsed="false">
      <c r="B28" s="10" t="s">
        <v>283</v>
      </c>
      <c r="C28" s="50" t="n">
        <f aca="false">'Revenue Ramp'!$C$18*'Pricing Assumptions'!$C$16</f>
        <v>80662500</v>
      </c>
      <c r="F28" s="43" t="s">
        <v>284</v>
      </c>
    </row>
    <row r="29" customFormat="false" ht="15" hidden="false" customHeight="true" outlineLevel="0" collapsed="false">
      <c r="B29" s="6" t="s">
        <v>285</v>
      </c>
      <c r="C29" s="63" t="n">
        <f aca="false">'Pricing Assumptions'!$C$14*$C$28/C23</f>
        <v>2.957625</v>
      </c>
      <c r="D29" s="89" t="n">
        <f aca="false">'Pricing Assumptions'!$C$14*$C$28/D23</f>
        <v>2.33496710526316</v>
      </c>
      <c r="E29" s="63" t="n">
        <f aca="false">'Pricing Assumptions'!$C$14*$C$28/E23</f>
        <v>2.0165625</v>
      </c>
    </row>
    <row r="30" customFormat="false" ht="15" hidden="false" customHeight="true" outlineLevel="0" collapsed="false">
      <c r="B30" s="43" t="s">
        <v>286</v>
      </c>
    </row>
    <row r="32" customFormat="false" ht="15" hidden="false" customHeight="true" outlineLevel="0" collapsed="false">
      <c r="B32" s="41" t="s">
        <v>287</v>
      </c>
      <c r="C32" s="57"/>
      <c r="D32" s="57"/>
      <c r="E32" s="57"/>
      <c r="F32" s="57"/>
    </row>
    <row r="33" customFormat="false" ht="15" hidden="false" customHeight="true" outlineLevel="0" collapsed="false">
      <c r="B33" s="90" t="s">
        <v>288</v>
      </c>
    </row>
    <row r="35" customFormat="false" ht="15" hidden="false" customHeight="true" outlineLevel="0" collapsed="false">
      <c r="B35" s="81" t="s">
        <v>289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4"/>
    <col collapsed="false" customWidth="true" hidden="false" outlineLevel="0" max="3" min="3" style="1" width="22"/>
    <col collapsed="false" customWidth="true" hidden="false" outlineLevel="0" max="4" min="4" style="1" width="48"/>
  </cols>
  <sheetData>
    <row r="2" customFormat="false" ht="19.5" hidden="false" customHeight="true" outlineLevel="0" collapsed="false">
      <c r="B2" s="2" t="s">
        <v>0</v>
      </c>
    </row>
    <row r="3" customFormat="false" ht="15" hidden="false" customHeight="true" outlineLevel="0" collapsed="false">
      <c r="B3" s="3" t="s">
        <v>290</v>
      </c>
    </row>
    <row r="5" customFormat="false" ht="15" hidden="false" customHeight="true" outlineLevel="0" collapsed="false">
      <c r="B5" s="41" t="s">
        <v>291</v>
      </c>
      <c r="C5" s="41" t="s">
        <v>292</v>
      </c>
      <c r="D5" s="41" t="s">
        <v>293</v>
      </c>
    </row>
    <row r="6" customFormat="false" ht="15" hidden="false" customHeight="true" outlineLevel="0" collapsed="false">
      <c r="B6" s="21" t="s">
        <v>294</v>
      </c>
      <c r="C6" s="91" t="s">
        <v>295</v>
      </c>
      <c r="D6" s="92" t="s">
        <v>296</v>
      </c>
    </row>
    <row r="7" customFormat="false" ht="15" hidden="false" customHeight="true" outlineLevel="0" collapsed="false">
      <c r="B7" s="6" t="s">
        <v>297</v>
      </c>
      <c r="C7" s="10" t="s">
        <v>298</v>
      </c>
      <c r="D7" s="43" t="s">
        <v>299</v>
      </c>
    </row>
    <row r="8" customFormat="false" ht="15" hidden="false" customHeight="true" outlineLevel="0" collapsed="false">
      <c r="B8" s="21" t="s">
        <v>300</v>
      </c>
      <c r="C8" s="91" t="s">
        <v>301</v>
      </c>
      <c r="D8" s="93" t="s">
        <v>302</v>
      </c>
    </row>
    <row r="9" customFormat="false" ht="15" hidden="false" customHeight="true" outlineLevel="0" collapsed="false">
      <c r="B9" s="6" t="s">
        <v>303</v>
      </c>
      <c r="C9" s="10" t="s">
        <v>304</v>
      </c>
      <c r="D9" s="43" t="s">
        <v>299</v>
      </c>
    </row>
    <row r="10" customFormat="false" ht="15" hidden="false" customHeight="true" outlineLevel="0" collapsed="false">
      <c r="B10" s="21" t="s">
        <v>305</v>
      </c>
      <c r="C10" s="91" t="s">
        <v>306</v>
      </c>
      <c r="D10" s="93" t="s">
        <v>307</v>
      </c>
    </row>
    <row r="11" customFormat="false" ht="15" hidden="false" customHeight="true" outlineLevel="0" collapsed="false">
      <c r="B11" s="6" t="s">
        <v>308</v>
      </c>
      <c r="C11" s="10" t="s">
        <v>309</v>
      </c>
      <c r="D11" s="43" t="s">
        <v>310</v>
      </c>
    </row>
    <row r="12" customFormat="false" ht="15" hidden="false" customHeight="true" outlineLevel="0" collapsed="false">
      <c r="B12" s="21" t="s">
        <v>311</v>
      </c>
      <c r="C12" s="91" t="s">
        <v>312</v>
      </c>
      <c r="D12" s="93" t="s">
        <v>313</v>
      </c>
    </row>
    <row r="13" customFormat="false" ht="15" hidden="false" customHeight="true" outlineLevel="0" collapsed="false">
      <c r="B13" s="6" t="s">
        <v>314</v>
      </c>
      <c r="C13" s="94" t="s">
        <v>315</v>
      </c>
      <c r="D13" s="45" t="s">
        <v>316</v>
      </c>
    </row>
    <row r="14" customFormat="false" ht="15" hidden="false" customHeight="true" outlineLevel="0" collapsed="false">
      <c r="B14" s="21" t="s">
        <v>317</v>
      </c>
      <c r="C14" s="91" t="s">
        <v>318</v>
      </c>
      <c r="D14" s="93" t="s">
        <v>319</v>
      </c>
    </row>
    <row r="16" customFormat="false" ht="15" hidden="false" customHeight="true" outlineLevel="0" collapsed="false">
      <c r="B16" s="95"/>
    </row>
    <row r="17" customFormat="false" ht="15" hidden="false" customHeight="false" outlineLevel="0" collapsed="false">
      <c r="B17" s="96" t="s">
        <v>320</v>
      </c>
      <c r="C17" s="96" t="s">
        <v>321</v>
      </c>
      <c r="D17" s="97" t="s">
        <v>322</v>
      </c>
    </row>
    <row r="18" customFormat="false" ht="15" hidden="false" customHeight="false" outlineLevel="0" collapsed="false">
      <c r="B18" s="96" t="s">
        <v>323</v>
      </c>
      <c r="C18" s="96" t="s">
        <v>324</v>
      </c>
      <c r="D18" s="97" t="s">
        <v>325</v>
      </c>
    </row>
    <row r="19" customFormat="false" ht="15" hidden="false" customHeight="false" outlineLevel="0" collapsed="false">
      <c r="B19" s="96" t="s">
        <v>326</v>
      </c>
      <c r="C19" s="96" t="s">
        <v>327</v>
      </c>
      <c r="D19" s="97" t="s">
        <v>328</v>
      </c>
    </row>
    <row r="20" customFormat="false" ht="15" hidden="false" customHeight="false" outlineLevel="0" collapsed="false">
      <c r="B20" s="96" t="s">
        <v>329</v>
      </c>
      <c r="C20" s="96" t="s">
        <v>330</v>
      </c>
      <c r="D20" s="97" t="s">
        <v>331</v>
      </c>
    </row>
    <row r="21" customFormat="false" ht="15" hidden="false" customHeight="false" outlineLevel="0" collapsed="false">
      <c r="B21" s="96" t="s">
        <v>332</v>
      </c>
      <c r="C21" s="96" t="s">
        <v>333</v>
      </c>
      <c r="D21" s="97" t="s">
        <v>334</v>
      </c>
    </row>
    <row r="23" customFormat="false" ht="15" hidden="false" customHeight="false" outlineLevel="0" collapsed="false">
      <c r="B23" s="98" t="s">
        <v>335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2026-05-29T23:40:10Z</dcterms:created>
  <dc:creator>openpyxl</dc:creator>
  <dc:description/>
  <dc:language>en-US</dc:language>
  <cp:lastModifiedBy/>
  <dcterms:modified xsi:type="dcterms:W3CDTF">2026-06-04T02:01:31Z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