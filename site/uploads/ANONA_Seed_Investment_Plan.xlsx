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Use of Funds" sheetId="2" state="visible" r:id="rId4"/>
    <sheet name="Funding Mechanism" sheetId="3" state="visible" r:id="rId5"/>
    <sheet name="Runwa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<sst xmlns="http://schemas.openxmlformats.org/spreadsheetml/2006/main" count="159" uniqueCount="149">
  <si>
    <t xml:space="preserve">ANONA / TENET</t>
  </si>
  <si>
    <t xml:space="preserve">Seed Round Investment Plan</t>
  </si>
  <si>
    <t xml:space="preserve">Prepared for investor + legal review  |  May 2026</t>
  </si>
  <si>
    <t xml:space="preserve">ROUND OVERVIEW</t>
  </si>
  <si>
    <t xml:space="preserve">Round</t>
  </si>
  <si>
    <t xml:space="preserve">Seed</t>
  </si>
  <si>
    <t xml:space="preserve">Target raise</t>
  </si>
  <si>
    <t xml:space="preserve">Primary target</t>
  </si>
  <si>
    <t xml:space="preserve">Floor</t>
  </si>
  <si>
    <t xml:space="preserve">Executes plan on tighter ~16-mo runway</t>
  </si>
  <si>
    <t xml:space="preserve">Ceiling</t>
  </si>
  <si>
    <t xml:space="preserve">Oversubscribed; extends toward 22 mo</t>
  </si>
  <si>
    <t xml:space="preserve">Runway target</t>
  </si>
  <si>
    <t xml:space="preserve">18–22 months</t>
  </si>
  <si>
    <t xml:space="preserve">To credible Series A</t>
  </si>
  <si>
    <t xml:space="preserve">Instrument</t>
  </si>
  <si>
    <t xml:space="preserve">TBD — see Funding Mechanism tab</t>
  </si>
  <si>
    <t xml:space="preserve">Bridge vs. accelerated first close</t>
  </si>
  <si>
    <t xml:space="preserve">USE OF FUNDS — $3.75M TARGET</t>
  </si>
  <si>
    <t xml:space="preserve">Allocation</t>
  </si>
  <si>
    <t xml:space="preserve">% of Raise</t>
  </si>
  <si>
    <t xml:space="preserve">Engineering &amp; infrastructure</t>
  </si>
  <si>
    <t xml:space="preserve">Design &amp; product</t>
  </si>
  <si>
    <t xml:space="preserve">Founder &amp; operations</t>
  </si>
  <si>
    <t xml:space="preserve">Brand &amp; strategy</t>
  </si>
  <si>
    <t xml:space="preserve">Brand build + strategy; thesis post-close</t>
  </si>
  <si>
    <t xml:space="preserve">Reserves / contingency</t>
  </si>
  <si>
    <t xml:space="preserve">~11% buffer to extend runway</t>
  </si>
  <si>
    <t xml:space="preserve">Total</t>
  </si>
  <si>
    <t xml:space="preserve">IMMEDIATE CAPITAL ASK (BRIDGE — FIRST 90 DAYS)</t>
  </si>
  <si>
    <t xml:space="preserve">Roger Obando — fractional CTO retainer</t>
  </si>
  <si>
    <t xml:space="preserve">$14K/mo × 3 months (bridge window)</t>
  </si>
  <si>
    <t xml:space="preserve">Immediate operating costs (legal, setup, infra)</t>
  </si>
  <si>
    <t xml:space="preserve">Estimate — refine on call</t>
  </si>
  <si>
    <t xml:space="preserve">Immediate ask total</t>
  </si>
  <si>
    <t xml:space="preserve">Bridge only: Roger + legal/setup. Operating plan funded by seed.</t>
  </si>
  <si>
    <t xml:space="preserve">Use of Funds — Detail</t>
  </si>
  <si>
    <t xml:space="preserve">Line-item breakdown supporting the $3.75M allocation</t>
  </si>
  <si>
    <t xml:space="preserve">Category / line item</t>
  </si>
  <si>
    <t xml:space="preserve">Amount</t>
  </si>
  <si>
    <t xml:space="preserve">Notes</t>
  </si>
  <si>
    <t xml:space="preserve">ENGINEERING &amp; INFRASTRUCTURE</t>
  </si>
  <si>
    <t xml:space="preserve">   Engineering Lead (senior, AI orchestration)</t>
  </si>
  <si>
    <t xml:space="preserve">Top hire priority — fully loaded yr1</t>
  </si>
  <si>
    <t xml:space="preserve">   Senior Frontend / Product Engineer (NLE-adjacent)</t>
  </si>
  <si>
    <t xml:space="preserve">Loaded yr1</t>
  </si>
  <si>
    <t xml:space="preserve">   Second engineer (from month 4–5)</t>
  </si>
  <si>
    <t xml:space="preserve">Partial-year</t>
  </si>
  <si>
    <t xml:space="preserve">   Cloud / GPU / model inference infra</t>
  </si>
  <si>
    <t xml:space="preserve">Generation + orchestration compute</t>
  </si>
  <si>
    <t xml:space="preserve">   Tooling, licenses, dev infrastructure</t>
  </si>
  <si>
    <t xml:space="preserve">   Fractional CTO / eng-lead seat (5 mo + held)</t>
  </si>
  <si>
    <t xml:space="preserve">Roger M1–5; hands off to full-time Eng Lead (recruit from month 3)</t>
  </si>
  <si>
    <t xml:space="preserve">   Engineering contingency</t>
  </si>
  <si>
    <t xml:space="preserve">Within engineering envelope</t>
  </si>
  <si>
    <t xml:space="preserve">   Subtotal</t>
  </si>
  <si>
    <t xml:space="preserve">DESIGN &amp; PRODUCT</t>
  </si>
  <si>
    <t xml:space="preserve">   Product Designer (multi-state UI / motion)</t>
  </si>
  <si>
    <t xml:space="preserve">   Design tooling &amp; prototyping</t>
  </si>
  <si>
    <t xml:space="preserve">   Product validation (test sessions, instrumentation)</t>
  </si>
  <si>
    <t xml:space="preserve">ANONA-run; JANE provides live jobs as anchor customer</t>
  </si>
  <si>
    <t xml:space="preserve">FOUNDER &amp; OPERATIONS</t>
  </si>
  <si>
    <t xml:space="preserve">   Founder compensation</t>
  </si>
  <si>
    <t xml:space="preserve">$20K/mo M1–3, $30K/mo M4–18</t>
  </si>
  <si>
    <t xml:space="preserve">   Legal, accounting, corporate formation</t>
  </si>
  <si>
    <t xml:space="preserve">Incl. round + ongoing counsel</t>
  </si>
  <si>
    <t xml:space="preserve">   Producer / Operations (full-time, day 15)</t>
  </si>
  <si>
    <t xml:space="preserve">$225K/yr loaded, full-time from day 15</t>
  </si>
  <si>
    <t xml:space="preserve">   Office / operations / misc.</t>
  </si>
  <si>
    <t xml:space="preserve">BRAND &amp; STRATEGY</t>
  </si>
  <si>
    <t xml:space="preserve">   Strategy (positioning, GTM, advisory team)</t>
  </si>
  <si>
    <t xml:space="preserve">Team supporting founder from day 15</t>
  </si>
  <si>
    <t xml:space="preserve">   Brand development (website, identity, system)</t>
  </si>
  <si>
    <t xml:space="preserve">Site, logo, design system; starts month 3</t>
  </si>
  <si>
    <t xml:space="preserve">RESERVES / CONTINGENCY</t>
  </si>
  <si>
    <t xml:space="preserve">   Unallocated reserve</t>
  </si>
  <si>
    <t xml:space="preserve">TOTAL RAISE</t>
  </si>
  <si>
    <t xml:space="preserve">Salary figures are fully-loaded yr1 estimates (incl. benefits/taxes). Headcount per Section 7 hiring plan.</t>
  </si>
  <si>
    <t xml:space="preserve">Funding Mechanism — Our Recommendation</t>
  </si>
  <si>
    <t xml:space="preserve">How we propose to fund the first 60–90 days while the full seed closes</t>
  </si>
  <si>
    <t xml:space="preserve">Option 1 — Bridge / Convertible Note</t>
  </si>
  <si>
    <t xml:space="preserve">Option 2 — Accelerated First Close</t>
  </si>
  <si>
    <t xml:space="preserve">What it is</t>
  </si>
  <si>
    <t xml:space="preserve">Short-term note covering immediate operating expenses; converts into the seed round at close.</t>
  </si>
  <si>
    <t xml:space="preserve">Pull a tranche of the seed forward to fund first 90 days; balance closes on normal timeline.</t>
  </si>
  <si>
    <t xml:space="preserve">Covers</t>
  </si>
  <si>
    <t xml:space="preserve">Covers Roger and immediate operating costs through close.</t>
  </si>
  <si>
    <t xml:space="preserve">Covers Roger plus first-90-day operations against the priced round.</t>
  </si>
  <si>
    <t xml:space="preserve">Speed to deploy</t>
  </si>
  <si>
    <t xml:space="preserve">Fast — note docs are lighter than full round close.</t>
  </si>
  <si>
    <t xml:space="preserve">Depends on first-close readiness; can be quick if leads are committed.</t>
  </si>
  <si>
    <t xml:space="preserve">Legal lift</t>
  </si>
  <si>
    <t xml:space="preserve">Lower upfront; note + cap/discount terms.</t>
  </si>
  <si>
    <t xml:space="preserve">Higher — requires priced/structured round docs sooner.</t>
  </si>
  <si>
    <t xml:space="preserve">Dilution clarity</t>
  </si>
  <si>
    <t xml:space="preserve">Deferred — converts later at cap/discount.</t>
  </si>
  <si>
    <t xml:space="preserve">Immediate — priced at close.</t>
  </si>
  <si>
    <t xml:space="preserve">Best when</t>
  </si>
  <si>
    <t xml:space="preserve">We use this to preserve momentum without locking full round terms before close.</t>
  </si>
  <si>
    <t xml:space="preserve">We use this when leads are ready to commit and prefer a single clean instrument.</t>
  </si>
  <si>
    <t xml:space="preserve">Why it fits here</t>
  </si>
  <si>
    <t xml:space="preserve">Fastest way to get the team operational and the build moving immediately.</t>
  </si>
  <si>
    <t xml:space="preserve">Cleanest cap-table outcome if the round prices on the near-term timeline.</t>
  </si>
  <si>
    <t xml:space="preserve">RECOMMENDED PATH</t>
  </si>
  <si>
    <t xml:space="preserve">We recommend a HYBRID: a short-term bridge note funds the first 90 days (Roger + legal/setup, ~$66K), then converts into the priced seed at the round close. This protects the start date without locking full round terms early. Note terms (cap, discount, conversion trigger) to be finalized with counsel — see below.</t>
  </si>
  <si>
    <t xml:space="preserve">BRIDGE SCOPE</t>
  </si>
  <si>
    <t xml:space="preserve">The bridge funds only Roger’s engagement (3 months) and legal/corporate setup (~$66K) during the 90-day window while the full seed closes. It does NOT fund the 18-month operating plan, team buildout, or infrastructure — those are funded by the seed itself.</t>
  </si>
  <si>
    <t xml:space="preserve">HYBRID TERMS (to finalize with counsel)</t>
  </si>
  <si>
    <t xml:space="preserve">Bridge amount</t>
  </si>
  <si>
    <t xml:space="preserve">~$66K (Roger 3 mo + legal/setup)</t>
  </si>
  <si>
    <t xml:space="preserve">Convertible note — TBD</t>
  </si>
  <si>
    <t xml:space="preserve">Conversion cap / discount</t>
  </si>
  <si>
    <t xml:space="preserve">TBD with counsel</t>
  </si>
  <si>
    <t xml:space="preserve">Conversion trigger</t>
  </si>
  <si>
    <t xml:space="preserve">Close of priced seed — TBD</t>
  </si>
  <si>
    <t xml:space="preserve">Exclusivity / timeline</t>
  </si>
  <si>
    <t xml:space="preserve">18-Month Runway — Illustrative Burn</t>
  </si>
  <si>
    <t xml:space="preserve">Simplified monthly view. Hiring ramps per Section 7. Refine on weekend call.</t>
  </si>
  <si>
    <t xml:space="preserve">($ per month)</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</si>
  <si>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</si>
  <si>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</si>
  <si>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</si>
  <si>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</si>
  <si>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</si>
  <si>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</si>
  <si>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</si>
  <si>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</si>
  <si>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</si>
  <si>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</si>
  <si>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</si>
  <si>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</si>
  <si>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</si>
  <si>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</si>
  <si>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</si>
  <si>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</si>
  <si>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</si>
  <si>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</si>
  <si>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Founder</t>
  </si>
  <si>
    <t xml:space="preserve">Producer / Operations</t>
  </si>
  <si>
    <t xml:space="preserve">Eng Lead</t>
  </si>
  <si>
    <t xml:space="preserve">Sr Frontend Eng</t>
  </si>
  <si>
    <t xml:space="preserve">Second Eng</t>
  </si>
  <si>
    <t xml:space="preserve">Product Designer</t>
  </si>
  <si>
    <t xml:space="preserve">Eng-lead seat (Roger M1–5, then held)</t>
  </si>
  <si>
    <t xml:space="preserve">Infra / compute / tooling</t>
  </si>
  <si>
    <t xml:space="preserve">Legal / ops / misc</t>
  </si>
  <si>
    <t xml:space="preserve">Monthly burn</t>
  </si>
  <si>
    <t xml:space="preserve">Capital remaining</t>
  </si>
  <si>
    <t xml:space="preserve">Blue = input assumptions. Adjust monthly figures to model scenarios. Capital remaining stays positive across 18 months at $3.75M raise.</t>
  </si>
</sst>
</file>

<file path=xl/styles.xml><?xml version="1.0" encoding="utf-8"?>
<styleSheet xmlns="http://schemas.openxmlformats.org/spreadsheetml/2006/main">
  <numFmts count="3">
    <numFmt numFmtId="164" formatCode="General"/>
    <numFmt numFmtId="165" formatCode="\$#,##0;&quot;($&quot;#,##0\);\-"/>
    <numFmt numFmtId="166" formatCode="0.0%;\(0.0%\);\-"/>
  </numFmts>
  <fonts count="16">
    <font>
      <sz val="11"/>
      <color theme="1"/>
      <name val="Calibri"/>
      <family val="2"/>
      <charset val="1"/>
    </font>
    <font>
      <sz val="10"/>
      <name val="Arial"/>
      <family val="0"/>
    </font>
    <font>
      <sz val="10"/>
      <name val="Arial"/>
      <family val="0"/>
    </font>
    <font>
      <sz val="10"/>
      <name val="Arial"/>
      <family val="0"/>
    </font>
    <font>
      <b val="true"/>
      <sz val="16"/>
      <color rgb="FF1A1A1A"/>
      <name val="Arial"/>
      <family val="0"/>
      <charset val="1"/>
    </font>
    <font>
      <b val="true"/>
      <sz val="12"/>
      <color rgb="FFBA7517"/>
      <name val="Arial"/>
      <family val="0"/>
      <charset val="1"/>
    </font>
    <font>
      <i val="true"/>
      <sz val="9"/>
      <color rgb="FF8A8A8A"/>
      <name val="Arial"/>
      <family val="0"/>
      <charset val="1"/>
    </font>
    <font>
      <b val="true"/>
      <sz val="11"/>
      <color rgb="FFFFFFFF"/>
      <name val="Arial"/>
      <family val="0"/>
      <charset val="1"/>
    </font>
    <font>
      <b val="true"/>
      <sz val="10"/>
      <color rgb="FF1A1A1A"/>
      <name val="Arial"/>
      <family val="0"/>
      <charset val="1"/>
    </font>
    <font>
      <sz val="10"/>
      <color rgb="FF000000"/>
      <name val="Arial"/>
      <family val="0"/>
      <charset val="1"/>
    </font>
    <font>
      <sz val="10"/>
      <color rgb="FF0000FF"/>
      <name val="Arial"/>
      <family val="0"/>
      <charset val="1"/>
    </font>
    <font>
      <sz val="10"/>
      <color rgb="FF1A1A1A"/>
      <name val="Arial"/>
      <family val="0"/>
      <charset val="1"/>
    </font>
    <font>
      <sz val="9"/>
      <color rgb="FF8A8A8A"/>
      <name val="Arial"/>
      <family val="0"/>
      <charset val="1"/>
    </font>
    <font>
      <b val="true"/>
      <sz val="10"/>
      <color rgb="FF000000"/>
      <name val="Arial"/>
      <family val="0"/>
      <charset val="1"/>
    </font>
    <font>
      <b val="true"/>
      <sz val="10"/>
      <color rgb="FFFFFFFF"/>
      <name val="Arial"/>
      <family val="0"/>
      <charset val="1"/>
    </font>
    <font>
      <sz val="10"/>
      <color rgb="FF8A8A8A"/>
      <name val="Arial"/>
      <family val="0"/>
      <charset val="1"/>
    </font>
  </fonts>
  <fills count="5">
    <fill>
      <patternFill patternType="none"/>
    </fill>
    <fill>
      <patternFill patternType="gray125"/>
    </fill>
    <fill>
      <patternFill patternType="solid">
        <fgColor rgb="FFBA7517"/>
        <bgColor rgb="FFFF6600"/>
      </patternFill>
    </fill>
    <fill>
      <patternFill patternType="solid">
        <fgColor rgb="FFF2F0EC"/>
        <bgColor rgb="FFFFFFFF"/>
      </patternFill>
    </fill>
    <fill>
      <patternFill patternType="solid">
        <fgColor rgb="FF1A1A1A"/>
        <bgColor rgb="FF333300"/>
      </patternFill>
    </fill>
  </fills>
  <borders count="3">
    <border diagonalUp="false" diagonalDown="false">
      <left/>
      <right/>
      <top/>
      <bottom/>
      <diagonal/>
    </border>
    <border diagonalUp="false" diagonalDown="false">
      <left/>
      <right/>
      <top style="thin">
        <color rgb="FF1A1A1A"/>
      </top>
      <bottom/>
      <diagonal/>
    </border>
    <border diagonalUp="false" diagonalDown="false">
      <left style="thin">
        <color rgb="FFD8D4CC"/>
      </left>
      <right style="thin">
        <color rgb="FFD8D4CC"/>
      </right>
      <top style="thin">
        <color rgb="FFD8D4CC"/>
      </top>
      <bottom style="thin">
        <color rgb="FFD8D4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6" fontId="9"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right" vertical="bottom" textRotation="0" wrapText="false" indent="0" shrinkToFit="false"/>
      <protection locked="true" hidden="false"/>
    </xf>
    <xf numFmtId="166" fontId="13" fillId="0" borderId="0" xfId="0" applyFont="true" applyBorder="fals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right" vertical="bottom" textRotation="0" wrapText="false" indent="0" shrinkToFit="false"/>
      <protection locked="true" hidden="false"/>
    </xf>
    <xf numFmtId="166" fontId="13" fillId="0" borderId="1" xfId="0" applyFont="true" applyBorder="true" applyAlignment="true" applyProtection="false">
      <alignment horizontal="right"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right" vertical="center"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right" vertical="bottom" textRotation="0" wrapText="false" indent="0" shrinkToFit="false"/>
      <protection locked="true" hidden="false"/>
    </xf>
    <xf numFmtId="166" fontId="11" fillId="0" borderId="1" xfId="0" applyFont="true" applyBorder="true" applyAlignment="true" applyProtection="false">
      <alignment horizontal="right"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64" fontId="14" fillId="4" borderId="1" xfId="0" applyFont="true" applyBorder="true" applyAlignment="true" applyProtection="false">
      <alignment horizontal="general" vertical="bottom" textRotation="0" wrapText="false" indent="0" shrinkToFit="false"/>
      <protection locked="true" hidden="false"/>
    </xf>
    <xf numFmtId="165" fontId="14" fillId="4" borderId="1" xfId="0" applyFont="true" applyBorder="true" applyAlignment="true" applyProtection="false">
      <alignment horizontal="right" vertical="bottom" textRotation="0" wrapText="false" indent="0" shrinkToFit="false"/>
      <protection locked="true" hidden="false"/>
    </xf>
    <xf numFmtId="166" fontId="14" fillId="4" borderId="1" xfId="0" applyFont="true" applyBorder="tru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A7517"/>
      <rgbColor rgb="FF800080"/>
      <rgbColor rgb="FF008080"/>
      <rgbColor rgb="FFC0C0C0"/>
      <rgbColor rgb="FF8A8A8A"/>
      <rgbColor rgb="FF9999FF"/>
      <rgbColor rgb="FF993366"/>
      <rgbColor rgb="FFF2F0EC"/>
      <rgbColor rgb="FFCCFFFF"/>
      <rgbColor rgb="FF660066"/>
      <rgbColor rgb="FFFF8080"/>
      <rgbColor rgb="FF0066CC"/>
      <rgbColor rgb="FFD8D4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16"/>
    <col collapsed="false" customWidth="true" hidden="false" outlineLevel="0" max="4" min="4" style="1" width="14"/>
    <col collapsed="false" customWidth="true" hidden="false" outlineLevel="0" max="5" min="5" style="1" width="16"/>
    <col collapsed="false" customWidth="true" hidden="false" outlineLevel="0" max="6" min="6" style="1" width="30"/>
    <col collapsed="false" customWidth="true" hidden="false" outlineLevel="0" max="7" min="7" style="1" width="2"/>
  </cols>
  <sheetData>
    <row r="2" customFormat="false" ht="19.5" hidden="false" customHeight="true" outlineLevel="0" collapsed="false">
      <c r="B2" s="2" t="s">
        <v>0</v>
      </c>
    </row>
    <row r="3" customFormat="false" ht="15" hidden="false" customHeight="true" outlineLevel="0" collapsed="false">
      <c r="B3" s="3" t="s">
        <v>1</v>
      </c>
    </row>
    <row r="4" customFormat="false" ht="15" hidden="false" customHeight="true" outlineLevel="0" collapsed="false">
      <c r="B4" s="4" t="s">
        <v>2</v>
      </c>
    </row>
    <row r="6" customFormat="false" ht="15" hidden="false" customHeight="true" outlineLevel="0" collapsed="false">
      <c r="B6" s="5" t="s">
        <v>3</v>
      </c>
      <c r="C6" s="5"/>
      <c r="D6" s="5"/>
      <c r="E6" s="5"/>
      <c r="F6" s="5"/>
    </row>
    <row r="7" customFormat="false" ht="15" hidden="false" customHeight="true" outlineLevel="0" collapsed="false">
      <c r="B7" s="6" t="s">
        <v>4</v>
      </c>
      <c r="C7" s="7" t="s">
        <v>5</v>
      </c>
    </row>
    <row r="8" customFormat="false" ht="15" hidden="false" customHeight="true" outlineLevel="0" collapsed="false">
      <c r="B8" s="6" t="s">
        <v>6</v>
      </c>
      <c r="C8" s="8" t="n">
        <v>3750000</v>
      </c>
      <c r="F8" s="4" t="s">
        <v>7</v>
      </c>
    </row>
    <row r="9" customFormat="false" ht="15" hidden="false" customHeight="true" outlineLevel="0" collapsed="false">
      <c r="B9" s="6" t="s">
        <v>8</v>
      </c>
      <c r="C9" s="8" t="n">
        <v>3500000</v>
      </c>
      <c r="F9" s="4" t="s">
        <v>9</v>
      </c>
    </row>
    <row r="10" customFormat="false" ht="15" hidden="false" customHeight="true" outlineLevel="0" collapsed="false">
      <c r="B10" s="6" t="s">
        <v>10</v>
      </c>
      <c r="C10" s="8" t="n">
        <v>4500000</v>
      </c>
      <c r="F10" s="4" t="s">
        <v>11</v>
      </c>
    </row>
    <row r="11" customFormat="false" ht="15" hidden="false" customHeight="true" outlineLevel="0" collapsed="false">
      <c r="B11" s="6" t="s">
        <v>12</v>
      </c>
      <c r="C11" s="7" t="s">
        <v>13</v>
      </c>
      <c r="F11" s="4" t="s">
        <v>14</v>
      </c>
    </row>
    <row r="12" customFormat="false" ht="15" hidden="false" customHeight="true" outlineLevel="0" collapsed="false">
      <c r="B12" s="6" t="s">
        <v>15</v>
      </c>
      <c r="C12" s="7" t="s">
        <v>16</v>
      </c>
      <c r="F12" s="4" t="s">
        <v>17</v>
      </c>
    </row>
    <row r="15" customFormat="false" ht="15" hidden="false" customHeight="true" outlineLevel="0" collapsed="false">
      <c r="B15" s="5" t="s">
        <v>18</v>
      </c>
      <c r="C15" s="9" t="s">
        <v>19</v>
      </c>
      <c r="D15" s="9" t="s">
        <v>20</v>
      </c>
      <c r="E15" s="5"/>
      <c r="F15" s="5"/>
    </row>
    <row r="16" customFormat="false" ht="15" hidden="false" customHeight="true" outlineLevel="0" collapsed="false">
      <c r="B16" s="10" t="s">
        <v>21</v>
      </c>
      <c r="C16" s="11" t="n">
        <v>1800000</v>
      </c>
      <c r="D16" s="12" t="n">
        <f aca="false">C16/$C$21</f>
        <v>0.48</v>
      </c>
    </row>
    <row r="17" customFormat="false" ht="15" hidden="false" customHeight="true" outlineLevel="0" collapsed="false">
      <c r="B17" s="10" t="s">
        <v>22</v>
      </c>
      <c r="C17" s="11" t="n">
        <v>400000</v>
      </c>
      <c r="D17" s="12" t="n">
        <f aca="false">C17/$C$21</f>
        <v>0.106666666666667</v>
      </c>
    </row>
    <row r="18" customFormat="false" ht="15" hidden="false" customHeight="true" outlineLevel="0" collapsed="false">
      <c r="B18" s="10" t="s">
        <v>23</v>
      </c>
      <c r="C18" s="11" t="n">
        <v>735000</v>
      </c>
      <c r="D18" s="12" t="n">
        <f aca="false">C18/$C$21</f>
        <v>0.196</v>
      </c>
    </row>
    <row r="19" customFormat="false" ht="15" hidden="false" customHeight="true" outlineLevel="0" collapsed="false">
      <c r="B19" s="10" t="s">
        <v>24</v>
      </c>
      <c r="C19" s="11" t="n">
        <v>396000</v>
      </c>
      <c r="D19" s="12" t="n">
        <f aca="false">C19/$C$21</f>
        <v>0.1056</v>
      </c>
      <c r="F19" s="13" t="s">
        <v>25</v>
      </c>
    </row>
    <row r="20" customFormat="false" ht="15" hidden="false" customHeight="true" outlineLevel="0" collapsed="false">
      <c r="B20" s="10" t="s">
        <v>26</v>
      </c>
      <c r="C20" s="11" t="n">
        <v>419000</v>
      </c>
      <c r="D20" s="12" t="n">
        <f aca="false">C20/$C$21</f>
        <v>0.111733333333333</v>
      </c>
      <c r="F20" s="13" t="s">
        <v>27</v>
      </c>
    </row>
    <row r="21" customFormat="false" ht="15" hidden="false" customHeight="true" outlineLevel="0" collapsed="false">
      <c r="B21" s="6" t="s">
        <v>28</v>
      </c>
      <c r="C21" s="14" t="n">
        <f aca="false">SUM(C16:C20)</f>
        <v>3750000</v>
      </c>
      <c r="D21" s="15" t="n">
        <f aca="false">C21/$C$21</f>
        <v>1</v>
      </c>
    </row>
    <row r="22" customFormat="false" ht="15" hidden="false" customHeight="true" outlineLevel="0" collapsed="false">
      <c r="B22" s="16"/>
      <c r="C22" s="17"/>
      <c r="D22" s="18"/>
    </row>
    <row r="25" customFormat="false" ht="15" hidden="false" customHeight="true" outlineLevel="0" collapsed="false">
      <c r="B25" s="5" t="s">
        <v>29</v>
      </c>
      <c r="C25" s="5"/>
      <c r="D25" s="5"/>
      <c r="E25" s="5"/>
      <c r="F25" s="5"/>
    </row>
    <row r="26" customFormat="false" ht="15" hidden="false" customHeight="true" outlineLevel="0" collapsed="false">
      <c r="B26" s="10" t="s">
        <v>30</v>
      </c>
      <c r="C26" s="19" t="n">
        <f aca="false">14000*3</f>
        <v>42000</v>
      </c>
      <c r="F26" s="4" t="s">
        <v>31</v>
      </c>
    </row>
    <row r="27" customFormat="false" ht="15" hidden="false" customHeight="true" outlineLevel="0" collapsed="false">
      <c r="B27" s="10" t="s">
        <v>32</v>
      </c>
      <c r="C27" s="11" t="n">
        <v>24000</v>
      </c>
      <c r="F27" s="4" t="s">
        <v>33</v>
      </c>
    </row>
    <row r="28" customFormat="false" ht="15" hidden="false" customHeight="true" outlineLevel="0" collapsed="false">
      <c r="B28" s="16" t="s">
        <v>34</v>
      </c>
      <c r="C28" s="17" t="n">
        <f aca="false">SUM(C26:C27)</f>
        <v>66000</v>
      </c>
      <c r="F28" s="13"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3" min="3" style="1" width="15"/>
    <col collapsed="false" customWidth="true" hidden="false" outlineLevel="0" max="4" min="4" style="1" width="12"/>
    <col collapsed="false" customWidth="true" hidden="false" outlineLevel="0" max="5" min="5" style="1" width="40"/>
  </cols>
  <sheetData>
    <row r="2" customFormat="false" ht="19.5" hidden="false" customHeight="true" outlineLevel="0" collapsed="false">
      <c r="B2" s="2" t="s">
        <v>36</v>
      </c>
    </row>
    <row r="3" customFormat="false" ht="15" hidden="false" customHeight="true" outlineLevel="0" collapsed="false">
      <c r="B3" s="4" t="s">
        <v>37</v>
      </c>
    </row>
    <row r="5" customFormat="false" ht="15" hidden="false" customHeight="true" outlineLevel="0" collapsed="false">
      <c r="B5" s="5" t="s">
        <v>38</v>
      </c>
      <c r="C5" s="20" t="s">
        <v>39</v>
      </c>
      <c r="D5" s="20" t="s">
        <v>20</v>
      </c>
      <c r="E5" s="20" t="s">
        <v>40</v>
      </c>
    </row>
    <row r="6" customFormat="false" ht="15" hidden="false" customHeight="true" outlineLevel="0" collapsed="false">
      <c r="B6" s="21" t="s">
        <v>41</v>
      </c>
      <c r="C6" s="22"/>
      <c r="D6" s="22"/>
      <c r="E6" s="22"/>
    </row>
    <row r="7" customFormat="false" ht="15" hidden="false" customHeight="true" outlineLevel="0" collapsed="false">
      <c r="B7" s="10" t="s">
        <v>42</v>
      </c>
      <c r="C7" s="11" t="n">
        <v>320000</v>
      </c>
      <c r="D7" s="12" t="n">
        <f aca="false">C7/$C$41</f>
        <v>0.0853333333333333</v>
      </c>
      <c r="E7" s="4" t="s">
        <v>43</v>
      </c>
    </row>
    <row r="8" customFormat="false" ht="15" hidden="false" customHeight="true" outlineLevel="0" collapsed="false">
      <c r="B8" s="10" t="s">
        <v>44</v>
      </c>
      <c r="C8" s="11" t="n">
        <v>260000</v>
      </c>
      <c r="D8" s="12" t="n">
        <f aca="false">C8/$C$41</f>
        <v>0.0693333333333333</v>
      </c>
      <c r="E8" s="4" t="s">
        <v>45</v>
      </c>
    </row>
    <row r="9" customFormat="false" ht="15" hidden="false" customHeight="true" outlineLevel="0" collapsed="false">
      <c r="B9" s="10" t="s">
        <v>46</v>
      </c>
      <c r="C9" s="11" t="n">
        <v>200000</v>
      </c>
      <c r="D9" s="12" t="n">
        <f aca="false">C9/$C$41</f>
        <v>0.0533333333333333</v>
      </c>
      <c r="E9" s="4" t="s">
        <v>47</v>
      </c>
    </row>
    <row r="10" customFormat="false" ht="15" hidden="false" customHeight="true" outlineLevel="0" collapsed="false">
      <c r="B10" s="10" t="s">
        <v>48</v>
      </c>
      <c r="C10" s="11" t="n">
        <v>480000</v>
      </c>
      <c r="D10" s="12" t="n">
        <f aca="false">C10/$C$41</f>
        <v>0.128</v>
      </c>
      <c r="E10" s="4" t="s">
        <v>49</v>
      </c>
    </row>
    <row r="11" customFormat="false" ht="15" hidden="false" customHeight="true" outlineLevel="0" collapsed="false">
      <c r="B11" s="10" t="s">
        <v>50</v>
      </c>
      <c r="C11" s="11" t="n">
        <v>140000</v>
      </c>
      <c r="D11" s="12" t="n">
        <f aca="false">C11/$C$41</f>
        <v>0.0373333333333333</v>
      </c>
    </row>
    <row r="12" customFormat="false" ht="15" hidden="false" customHeight="true" outlineLevel="0" collapsed="false">
      <c r="B12" s="10" t="s">
        <v>51</v>
      </c>
      <c r="C12" s="11" t="n">
        <v>70000</v>
      </c>
      <c r="D12" s="12" t="n">
        <f aca="false">C12/$C$41</f>
        <v>0.0186666666666667</v>
      </c>
      <c r="E12" s="4" t="s">
        <v>52</v>
      </c>
    </row>
    <row r="13" customFormat="false" ht="15" hidden="false" customHeight="true" outlineLevel="0" collapsed="false">
      <c r="B13" s="10" t="s">
        <v>53</v>
      </c>
      <c r="C13" s="11" t="n">
        <v>330000</v>
      </c>
      <c r="D13" s="12" t="n">
        <f aca="false">C13/$C$41</f>
        <v>0.088</v>
      </c>
      <c r="E13" s="4" t="s">
        <v>54</v>
      </c>
    </row>
    <row r="14" customFormat="false" ht="15" hidden="false" customHeight="true" outlineLevel="0" collapsed="false">
      <c r="B14" s="16" t="s">
        <v>55</v>
      </c>
      <c r="C14" s="17" t="n">
        <f aca="false">SUM(C7:C13)</f>
        <v>1800000</v>
      </c>
      <c r="D14" s="18" t="n">
        <f aca="false">C14/$C$41</f>
        <v>0.48</v>
      </c>
    </row>
    <row r="16" customFormat="false" ht="15" hidden="false" customHeight="true" outlineLevel="0" collapsed="false">
      <c r="B16" s="21" t="s">
        <v>56</v>
      </c>
      <c r="C16" s="22"/>
      <c r="D16" s="22"/>
      <c r="E16" s="22"/>
    </row>
    <row r="17" customFormat="false" ht="15" hidden="false" customHeight="true" outlineLevel="0" collapsed="false">
      <c r="B17" s="10" t="s">
        <v>57</v>
      </c>
      <c r="C17" s="11" t="n">
        <v>280000</v>
      </c>
      <c r="D17" s="12" t="n">
        <f aca="false">C17/$C$41</f>
        <v>0.0746666666666667</v>
      </c>
      <c r="E17" s="4" t="s">
        <v>45</v>
      </c>
    </row>
    <row r="18" customFormat="false" ht="15" hidden="false" customHeight="true" outlineLevel="0" collapsed="false">
      <c r="B18" s="10" t="s">
        <v>58</v>
      </c>
      <c r="C18" s="11" t="n">
        <v>40000</v>
      </c>
      <c r="D18" s="12" t="n">
        <f aca="false">C18/$C$41</f>
        <v>0.0106666666666667</v>
      </c>
    </row>
    <row r="19" customFormat="false" ht="15" hidden="false" customHeight="true" outlineLevel="0" collapsed="false">
      <c r="B19" s="10" t="s">
        <v>59</v>
      </c>
      <c r="C19" s="11" t="n">
        <v>80000</v>
      </c>
      <c r="D19" s="12" t="n">
        <f aca="false">C19/$C$41</f>
        <v>0.0213333333333333</v>
      </c>
      <c r="E19" s="4" t="s">
        <v>60</v>
      </c>
    </row>
    <row r="20" customFormat="false" ht="15" hidden="false" customHeight="true" outlineLevel="0" collapsed="false">
      <c r="B20" s="16" t="s">
        <v>55</v>
      </c>
      <c r="C20" s="17" t="n">
        <f aca="false">SUM(C17:C19)</f>
        <v>400000</v>
      </c>
      <c r="D20" s="18" t="n">
        <f aca="false">C20/$C$41</f>
        <v>0.106666666666667</v>
      </c>
    </row>
    <row r="22" customFormat="false" ht="15" hidden="false" customHeight="true" outlineLevel="0" collapsed="false">
      <c r="B22" s="21" t="s">
        <v>61</v>
      </c>
      <c r="C22" s="22"/>
      <c r="D22" s="22"/>
      <c r="E22" s="22"/>
    </row>
    <row r="23" customFormat="false" ht="15" hidden="false" customHeight="true" outlineLevel="0" collapsed="false">
      <c r="B23" s="10" t="s">
        <v>62</v>
      </c>
      <c r="C23" s="11" t="n">
        <v>390000</v>
      </c>
      <c r="D23" s="12" t="n">
        <f aca="false">C23/$C$41</f>
        <v>0.104</v>
      </c>
      <c r="E23" s="4" t="s">
        <v>63</v>
      </c>
    </row>
    <row r="24" customFormat="false" ht="15" hidden="false" customHeight="true" outlineLevel="0" collapsed="false">
      <c r="B24" s="10" t="s">
        <v>64</v>
      </c>
      <c r="C24" s="11" t="n">
        <v>70000</v>
      </c>
      <c r="D24" s="12" t="n">
        <f aca="false">C24/$C$41</f>
        <v>0.0186666666666667</v>
      </c>
      <c r="E24" s="4" t="s">
        <v>65</v>
      </c>
    </row>
    <row r="25" customFormat="false" ht="15" hidden="false" customHeight="true" outlineLevel="0" collapsed="false">
      <c r="B25" s="10" t="s">
        <v>66</v>
      </c>
      <c r="C25" s="8" t="n">
        <v>225000</v>
      </c>
      <c r="D25" s="23" t="n">
        <f aca="false">C25/$C$41</f>
        <v>0.06</v>
      </c>
      <c r="E25" s="13" t="s">
        <v>67</v>
      </c>
    </row>
    <row r="26" customFormat="false" ht="15" hidden="false" customHeight="true" outlineLevel="0" collapsed="false">
      <c r="B26" s="10" t="s">
        <v>68</v>
      </c>
      <c r="C26" s="11" t="n">
        <v>50000</v>
      </c>
      <c r="D26" s="12" t="n">
        <f aca="false">C26/$C$41</f>
        <v>0.0133333333333333</v>
      </c>
    </row>
    <row r="27" customFormat="false" ht="15" hidden="false" customHeight="true" outlineLevel="0" collapsed="false">
      <c r="B27" s="16" t="s">
        <v>55</v>
      </c>
      <c r="C27" s="17" t="n">
        <f aca="false">SUM(C23:C26)</f>
        <v>735000</v>
      </c>
      <c r="D27" s="18" t="n">
        <f aca="false">C27/$C$41</f>
        <v>0.196</v>
      </c>
    </row>
    <row r="28" customFormat="false" ht="15" hidden="false" customHeight="true" outlineLevel="0" collapsed="false"/>
    <row r="29" customFormat="false" ht="15" hidden="false" customHeight="true" outlineLevel="0" collapsed="false">
      <c r="B29" s="21" t="s">
        <v>69</v>
      </c>
      <c r="C29" s="10"/>
      <c r="D29" s="10"/>
      <c r="E29" s="10"/>
    </row>
    <row r="30" customFormat="false" ht="15" hidden="false" customHeight="true" outlineLevel="0" collapsed="false">
      <c r="B30" s="10" t="s">
        <v>70</v>
      </c>
      <c r="C30" s="11" t="n">
        <v>280000</v>
      </c>
      <c r="D30" s="12" t="n">
        <f aca="false">C30/$C$41</f>
        <v>0.0746666666666667</v>
      </c>
      <c r="E30" s="13" t="s">
        <v>71</v>
      </c>
    </row>
    <row r="31" customFormat="false" ht="15" hidden="false" customHeight="true" outlineLevel="0" collapsed="false">
      <c r="B31" s="10" t="s">
        <v>72</v>
      </c>
      <c r="C31" s="11" t="n">
        <v>116000</v>
      </c>
      <c r="D31" s="12" t="n">
        <f aca="false">C31/$C$41</f>
        <v>0.0309333333333333</v>
      </c>
      <c r="E31" s="13" t="s">
        <v>73</v>
      </c>
    </row>
    <row r="32" customFormat="false" ht="15" hidden="false" customHeight="true" outlineLevel="0" collapsed="false">
      <c r="B32" s="6" t="s">
        <v>55</v>
      </c>
      <c r="C32" s="14" t="n">
        <f aca="false">SUM(C30:C31)</f>
        <v>396000</v>
      </c>
      <c r="D32" s="15" t="n">
        <f aca="false">C32/$C$41</f>
        <v>0.1056</v>
      </c>
      <c r="E32" s="10"/>
    </row>
    <row r="33" customFormat="false" ht="15" hidden="false" customHeight="true" outlineLevel="0" collapsed="false">
      <c r="B33" s="24"/>
      <c r="C33" s="25"/>
      <c r="D33" s="26"/>
      <c r="E33" s="10"/>
    </row>
    <row r="34" customFormat="false" ht="15" hidden="false" customHeight="true" outlineLevel="0" collapsed="false">
      <c r="B34" s="21" t="s">
        <v>74</v>
      </c>
      <c r="C34" s="10"/>
      <c r="D34" s="10"/>
      <c r="E34" s="10"/>
    </row>
    <row r="35" customFormat="false" ht="15" hidden="false" customHeight="true" outlineLevel="0" collapsed="false">
      <c r="B35" s="10" t="s">
        <v>75</v>
      </c>
      <c r="C35" s="8" t="n">
        <v>419000</v>
      </c>
      <c r="D35" s="23" t="n">
        <f aca="false">C35/$C$41</f>
        <v>0.111733333333333</v>
      </c>
      <c r="E35" s="13" t="s">
        <v>27</v>
      </c>
    </row>
    <row r="36" customFormat="false" ht="15" hidden="false" customHeight="true" outlineLevel="0" collapsed="false">
      <c r="B36" s="6" t="s">
        <v>55</v>
      </c>
      <c r="C36" s="14" t="n">
        <f aca="false">SUM(C35:C35)</f>
        <v>419000</v>
      </c>
      <c r="D36" s="15" t="n">
        <f aca="false">C36/$C$41</f>
        <v>0.111733333333333</v>
      </c>
      <c r="E36" s="10"/>
    </row>
    <row r="37" customFormat="false" ht="15" hidden="false" customHeight="true" outlineLevel="0" collapsed="false">
      <c r="B37" s="24"/>
      <c r="C37" s="25"/>
      <c r="D37" s="26"/>
      <c r="E37" s="10"/>
    </row>
    <row r="38" customFormat="false" ht="15" hidden="false" customHeight="true" outlineLevel="0" collapsed="false">
      <c r="B38" s="10"/>
      <c r="C38" s="10"/>
      <c r="D38" s="10"/>
      <c r="E38" s="10"/>
    </row>
    <row r="39" customFormat="false" ht="15" hidden="false" customHeight="true" outlineLevel="0" collapsed="false">
      <c r="B39" s="10"/>
      <c r="C39" s="10"/>
      <c r="D39" s="10"/>
      <c r="E39" s="10"/>
    </row>
    <row r="40" customFormat="false" ht="15" hidden="false" customHeight="true" outlineLevel="0" collapsed="false">
      <c r="B40" s="10"/>
      <c r="C40" s="27"/>
      <c r="D40" s="28"/>
      <c r="E40" s="10"/>
    </row>
    <row r="41" customFormat="false" ht="15" hidden="false" customHeight="true" outlineLevel="0" collapsed="false">
      <c r="B41" s="29" t="s">
        <v>76</v>
      </c>
      <c r="C41" s="30" t="n">
        <f aca="false">C14+C20+C27+C32+C36</f>
        <v>3750000</v>
      </c>
      <c r="D41" s="31" t="n">
        <f aca="false">C41/C41</f>
        <v>1</v>
      </c>
      <c r="E41" s="10"/>
    </row>
    <row r="42" customFormat="false" ht="15" hidden="false" customHeight="true" outlineLevel="0" collapsed="false">
      <c r="B42" s="10"/>
      <c r="C42" s="10"/>
      <c r="D42" s="10"/>
      <c r="E42" s="10"/>
    </row>
    <row r="43" customFormat="false" ht="15" hidden="false" customHeight="true" outlineLevel="0" collapsed="false">
      <c r="B43" s="13" t="s">
        <v>77</v>
      </c>
      <c r="C43" s="27"/>
      <c r="D43" s="28"/>
      <c r="E43" s="10"/>
    </row>
    <row r="44" customFormat="false" ht="15" hidden="false" customHeight="true" outlineLevel="0" collapsed="false">
      <c r="B44" s="10"/>
      <c r="C44" s="10"/>
      <c r="D44" s="10"/>
      <c r="E44" s="10"/>
    </row>
    <row r="45" customFormat="false" ht="15" hidden="false" customHeight="true" outlineLevel="0" collapsed="false">
      <c r="B45" s="10"/>
      <c r="C45" s="10"/>
      <c r="D45" s="10"/>
      <c r="E45"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4" min="3" style="1" width="42"/>
  </cols>
  <sheetData>
    <row r="2" customFormat="false" ht="19.5" hidden="false" customHeight="true" outlineLevel="0" collapsed="false">
      <c r="B2" s="2" t="s">
        <v>78</v>
      </c>
    </row>
    <row r="3" customFormat="false" ht="15" hidden="false" customHeight="true" outlineLevel="0" collapsed="false">
      <c r="B3" s="4" t="s">
        <v>79</v>
      </c>
    </row>
    <row r="5" customFormat="false" ht="15" hidden="false" customHeight="true" outlineLevel="0" collapsed="false">
      <c r="B5" s="32"/>
      <c r="C5" s="33" t="s">
        <v>80</v>
      </c>
      <c r="D5" s="33" t="s">
        <v>81</v>
      </c>
    </row>
    <row r="6" customFormat="false" ht="45.75" hidden="false" customHeight="true" outlineLevel="0" collapsed="false">
      <c r="B6" s="34" t="s">
        <v>82</v>
      </c>
      <c r="C6" s="35" t="s">
        <v>83</v>
      </c>
      <c r="D6" s="35" t="s">
        <v>84</v>
      </c>
    </row>
    <row r="7" customFormat="false" ht="45.75" hidden="false" customHeight="true" outlineLevel="0" collapsed="false">
      <c r="B7" s="34" t="s">
        <v>85</v>
      </c>
      <c r="C7" s="35" t="s">
        <v>86</v>
      </c>
      <c r="D7" s="35" t="s">
        <v>87</v>
      </c>
    </row>
    <row r="8" customFormat="false" ht="45.75" hidden="false" customHeight="true" outlineLevel="0" collapsed="false">
      <c r="B8" s="34" t="s">
        <v>88</v>
      </c>
      <c r="C8" s="35" t="s">
        <v>89</v>
      </c>
      <c r="D8" s="35" t="s">
        <v>90</v>
      </c>
    </row>
    <row r="9" customFormat="false" ht="45.75" hidden="false" customHeight="true" outlineLevel="0" collapsed="false">
      <c r="B9" s="34" t="s">
        <v>91</v>
      </c>
      <c r="C9" s="35" t="s">
        <v>92</v>
      </c>
      <c r="D9" s="35" t="s">
        <v>93</v>
      </c>
    </row>
    <row r="10" customFormat="false" ht="45.75" hidden="false" customHeight="true" outlineLevel="0" collapsed="false">
      <c r="B10" s="34" t="s">
        <v>94</v>
      </c>
      <c r="C10" s="35" t="s">
        <v>95</v>
      </c>
      <c r="D10" s="35" t="s">
        <v>96</v>
      </c>
    </row>
    <row r="11" customFormat="false" ht="45.75" hidden="false" customHeight="true" outlineLevel="0" collapsed="false">
      <c r="B11" s="34" t="s">
        <v>97</v>
      </c>
      <c r="C11" s="35" t="s">
        <v>98</v>
      </c>
      <c r="D11" s="35" t="s">
        <v>99</v>
      </c>
    </row>
    <row r="12" customFormat="false" ht="45.75" hidden="false" customHeight="true" outlineLevel="0" collapsed="false">
      <c r="B12" s="34" t="s">
        <v>100</v>
      </c>
      <c r="C12" s="35" t="s">
        <v>101</v>
      </c>
      <c r="D12" s="35" t="s">
        <v>102</v>
      </c>
    </row>
    <row r="14" customFormat="false" ht="15" hidden="false" customHeight="true" outlineLevel="0" collapsed="false">
      <c r="B14" s="5" t="s">
        <v>103</v>
      </c>
      <c r="C14" s="5"/>
      <c r="D14" s="5"/>
    </row>
    <row r="15" customFormat="false" ht="72" hidden="false" customHeight="true" outlineLevel="0" collapsed="false">
      <c r="B15" s="36" t="s">
        <v>104</v>
      </c>
      <c r="C15" s="36"/>
      <c r="D15" s="36"/>
    </row>
    <row r="17" customFormat="false" ht="15" hidden="false" customHeight="true" outlineLevel="0" collapsed="false">
      <c r="B17" s="37" t="s">
        <v>105</v>
      </c>
      <c r="C17" s="37"/>
      <c r="D17" s="37"/>
    </row>
    <row r="18" customFormat="false" ht="57.75" hidden="false" customHeight="true" outlineLevel="0" collapsed="false">
      <c r="B18" s="38" t="s">
        <v>106</v>
      </c>
      <c r="C18" s="38"/>
      <c r="D18" s="38"/>
    </row>
    <row r="20" customFormat="false" ht="15" hidden="false" customHeight="false" outlineLevel="0" collapsed="false">
      <c r="B20" s="39" t="s">
        <v>107</v>
      </c>
      <c r="C20" s="39"/>
      <c r="D20" s="39"/>
    </row>
    <row r="21" customFormat="false" ht="15" hidden="false" customHeight="false" outlineLevel="0" collapsed="false">
      <c r="B21" s="40" t="s">
        <v>108</v>
      </c>
      <c r="C21" s="41" t="s">
        <v>109</v>
      </c>
      <c r="D21" s="41"/>
    </row>
    <row r="22" customFormat="false" ht="15" hidden="false" customHeight="false" outlineLevel="0" collapsed="false">
      <c r="B22" s="40" t="s">
        <v>15</v>
      </c>
      <c r="C22" s="41" t="s">
        <v>110</v>
      </c>
      <c r="D22" s="41"/>
    </row>
    <row r="23" customFormat="false" ht="15" hidden="false" customHeight="false" outlineLevel="0" collapsed="false">
      <c r="B23" s="40" t="s">
        <v>111</v>
      </c>
      <c r="C23" s="42" t="s">
        <v>112</v>
      </c>
      <c r="D23" s="42"/>
    </row>
    <row r="24" customFormat="false" ht="15" hidden="false" customHeight="false" outlineLevel="0" collapsed="false">
      <c r="B24" s="40" t="s">
        <v>113</v>
      </c>
      <c r="C24" s="42" t="s">
        <v>114</v>
      </c>
      <c r="D24" s="42"/>
    </row>
    <row r="25" customFormat="false" ht="15" hidden="false" customHeight="false" outlineLevel="0" collapsed="false">
      <c r="B25" s="40" t="s">
        <v>115</v>
      </c>
      <c r="C25" s="42" t="s">
        <v>112</v>
      </c>
      <c r="D25" s="42"/>
    </row>
  </sheetData>
  <mergeCells count="9">
    <mergeCell ref="B15:D15"/>
    <mergeCell ref="B17:D17"/>
    <mergeCell ref="B18:D18"/>
    <mergeCell ref="B20:D20"/>
    <mergeCell ref="C21:D21"/>
    <mergeCell ref="C22:D22"/>
    <mergeCell ref="C23:D23"/>
    <mergeCell ref="C24:D24"/>
    <mergeCell ref="C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T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20" min="3" style="1" width="11"/>
  </cols>
  <sheetData>
    <row r="2" customFormat="false" ht="19.5" hidden="false" customHeight="true" outlineLevel="0" collapsed="false">
      <c r="B2" s="2" t="s">
        <v>116</v>
      </c>
    </row>
    <row r="3" customFormat="false" ht="15" hidden="false" customHeight="true" outlineLevel="0" collapsed="false">
      <c r="B3" s="4" t="s">
        <v>117</v>
      </c>
    </row>
    <row r="5" customFormat="false" ht="15" hidden="false" customHeight="true" outlineLevel="0" collapsed="false">
      <c r="B5" s="43" t="s">
        <v>118</v>
      </c>
      <c r="C5" s="44" t="s">
        <v>119</v>
      </c>
      <c r="D5" s="44" t="s">
        <v>120</v>
      </c>
      <c r="E5" s="44" t="s">
        <v>121</v>
      </c>
      <c r="F5" s="44" t="s">
        <v>122</v>
      </c>
      <c r="G5" s="44" t="s">
        <v>123</v>
      </c>
      <c r="H5" s="44" t="s">
        <v>124</v>
      </c>
      <c r="I5" s="44" t="s">
        <v>125</v>
      </c>
      <c r="J5" s="44" t="s">
        <v>126</v>
      </c>
      <c r="K5" s="44" t="s">
        <v>127</v>
      </c>
      <c r="L5" s="44" t="s">
        <v>128</v>
      </c>
      <c r="M5" s="44" t="s">
        <v>129</v>
      </c>
      <c r="N5" s="44" t="s">
        <v>130</v>
      </c>
      <c r="O5" s="44" t="s">
        <v>131</v>
      </c>
      <c r="P5" s="44" t="s">
        <v>132</v>
      </c>
      <c r="Q5" s="44" t="s">
        <v>133</v>
      </c>
      <c r="R5" s="44" t="s">
        <v>134</v>
      </c>
      <c r="S5" s="44" t="s">
        <v>135</v>
      </c>
      <c r="T5" s="44" t="s">
        <v>136</v>
      </c>
    </row>
    <row r="6" customFormat="false" ht="15" hidden="false" customHeight="true" outlineLevel="0" collapsed="false">
      <c r="B6" s="10" t="s">
        <v>137</v>
      </c>
      <c r="C6" s="11" t="n">
        <v>20000</v>
      </c>
      <c r="D6" s="11" t="n">
        <v>20000</v>
      </c>
      <c r="E6" s="11" t="n">
        <v>20000</v>
      </c>
      <c r="F6" s="11" t="n">
        <v>30000</v>
      </c>
      <c r="G6" s="11" t="n">
        <v>30000</v>
      </c>
      <c r="H6" s="11" t="n">
        <v>30000</v>
      </c>
      <c r="I6" s="11" t="n">
        <v>30000</v>
      </c>
      <c r="J6" s="11" t="n">
        <v>30000</v>
      </c>
      <c r="K6" s="11" t="n">
        <v>30000</v>
      </c>
      <c r="L6" s="11" t="n">
        <v>30000</v>
      </c>
      <c r="M6" s="11" t="n">
        <v>30000</v>
      </c>
      <c r="N6" s="11" t="n">
        <v>30000</v>
      </c>
      <c r="O6" s="11" t="n">
        <v>30000</v>
      </c>
      <c r="P6" s="11" t="n">
        <v>30000</v>
      </c>
      <c r="Q6" s="11" t="n">
        <v>30000</v>
      </c>
      <c r="R6" s="11" t="n">
        <v>30000</v>
      </c>
      <c r="S6" s="11" t="n">
        <v>30000</v>
      </c>
      <c r="T6" s="11" t="n">
        <v>30000</v>
      </c>
    </row>
    <row r="7" customFormat="false" ht="15" hidden="false" customHeight="true" outlineLevel="0" collapsed="false">
      <c r="B7" s="10" t="s">
        <v>138</v>
      </c>
      <c r="C7" s="8" t="n">
        <v>18750</v>
      </c>
      <c r="D7" s="8" t="n">
        <v>18750</v>
      </c>
      <c r="E7" s="8" t="n">
        <v>18750</v>
      </c>
      <c r="F7" s="8" t="n">
        <v>18750</v>
      </c>
      <c r="G7" s="8" t="n">
        <v>18750</v>
      </c>
      <c r="H7" s="8" t="n">
        <v>18750</v>
      </c>
      <c r="I7" s="8" t="n">
        <v>18750</v>
      </c>
      <c r="J7" s="8" t="n">
        <v>18750</v>
      </c>
      <c r="K7" s="8" t="n">
        <v>18750</v>
      </c>
      <c r="L7" s="8" t="n">
        <v>18750</v>
      </c>
      <c r="M7" s="8" t="n">
        <v>18750</v>
      </c>
      <c r="N7" s="8" t="n">
        <v>18750</v>
      </c>
      <c r="O7" s="8" t="n">
        <v>18750</v>
      </c>
      <c r="P7" s="8" t="n">
        <v>18750</v>
      </c>
      <c r="Q7" s="8" t="n">
        <v>18750</v>
      </c>
      <c r="R7" s="8" t="n">
        <v>18750</v>
      </c>
      <c r="S7" s="8" t="n">
        <v>18750</v>
      </c>
      <c r="T7" s="8" t="n">
        <v>18750</v>
      </c>
    </row>
    <row r="8" customFormat="false" ht="15" hidden="false" customHeight="true" outlineLevel="0" collapsed="false">
      <c r="B8" s="10" t="s">
        <v>139</v>
      </c>
      <c r="C8" s="11" t="n">
        <v>26667</v>
      </c>
      <c r="D8" s="11" t="n">
        <v>26667</v>
      </c>
      <c r="E8" s="11" t="n">
        <v>26667</v>
      </c>
      <c r="F8" s="11" t="n">
        <v>26667</v>
      </c>
      <c r="G8" s="11" t="n">
        <v>26667</v>
      </c>
      <c r="H8" s="11" t="n">
        <v>26667</v>
      </c>
      <c r="I8" s="11" t="n">
        <v>26667</v>
      </c>
      <c r="J8" s="11" t="n">
        <v>26667</v>
      </c>
      <c r="K8" s="11" t="n">
        <v>26667</v>
      </c>
      <c r="L8" s="11" t="n">
        <v>26667</v>
      </c>
      <c r="M8" s="11" t="n">
        <v>26667</v>
      </c>
      <c r="N8" s="11" t="n">
        <v>26667</v>
      </c>
      <c r="O8" s="11" t="n">
        <v>26667</v>
      </c>
      <c r="P8" s="11" t="n">
        <v>26667</v>
      </c>
      <c r="Q8" s="11" t="n">
        <v>26667</v>
      </c>
      <c r="R8" s="11" t="n">
        <v>26667</v>
      </c>
      <c r="S8" s="11" t="n">
        <v>26667</v>
      </c>
      <c r="T8" s="11" t="n">
        <v>26667</v>
      </c>
    </row>
    <row r="9" customFormat="false" ht="15" hidden="false" customHeight="true" outlineLevel="0" collapsed="false">
      <c r="B9" s="10" t="s">
        <v>140</v>
      </c>
      <c r="C9" s="11" t="n">
        <v>21667</v>
      </c>
      <c r="D9" s="11" t="n">
        <v>21667</v>
      </c>
      <c r="E9" s="11" t="n">
        <v>21667</v>
      </c>
      <c r="F9" s="11" t="n">
        <v>21667</v>
      </c>
      <c r="G9" s="11" t="n">
        <v>21667</v>
      </c>
      <c r="H9" s="11" t="n">
        <v>21667</v>
      </c>
      <c r="I9" s="11" t="n">
        <v>21667</v>
      </c>
      <c r="J9" s="11" t="n">
        <v>21667</v>
      </c>
      <c r="K9" s="11" t="n">
        <v>21667</v>
      </c>
      <c r="L9" s="11" t="n">
        <v>21667</v>
      </c>
      <c r="M9" s="11" t="n">
        <v>21667</v>
      </c>
      <c r="N9" s="11" t="n">
        <v>21667</v>
      </c>
      <c r="O9" s="11" t="n">
        <v>21667</v>
      </c>
      <c r="P9" s="11" t="n">
        <v>21667</v>
      </c>
      <c r="Q9" s="11" t="n">
        <v>21667</v>
      </c>
      <c r="R9" s="11" t="n">
        <v>21667</v>
      </c>
      <c r="S9" s="11" t="n">
        <v>21667</v>
      </c>
      <c r="T9" s="11" t="n">
        <v>21667</v>
      </c>
    </row>
    <row r="10" customFormat="false" ht="15" hidden="false" customHeight="true" outlineLevel="0" collapsed="false">
      <c r="B10" s="10" t="s">
        <v>141</v>
      </c>
      <c r="C10" s="19" t="n">
        <v>0</v>
      </c>
      <c r="D10" s="19" t="n">
        <v>0</v>
      </c>
      <c r="E10" s="19" t="n">
        <v>0</v>
      </c>
      <c r="F10" s="11" t="n">
        <v>16667</v>
      </c>
      <c r="G10" s="11" t="n">
        <v>16667</v>
      </c>
      <c r="H10" s="11" t="n">
        <v>16667</v>
      </c>
      <c r="I10" s="11" t="n">
        <v>16667</v>
      </c>
      <c r="J10" s="11" t="n">
        <v>16667</v>
      </c>
      <c r="K10" s="11" t="n">
        <v>16667</v>
      </c>
      <c r="L10" s="11" t="n">
        <v>16667</v>
      </c>
      <c r="M10" s="11" t="n">
        <v>16667</v>
      </c>
      <c r="N10" s="11" t="n">
        <v>16667</v>
      </c>
      <c r="O10" s="11" t="n">
        <v>16667</v>
      </c>
      <c r="P10" s="11" t="n">
        <v>16667</v>
      </c>
      <c r="Q10" s="11" t="n">
        <v>16667</v>
      </c>
      <c r="R10" s="11" t="n">
        <v>16667</v>
      </c>
      <c r="S10" s="11" t="n">
        <v>16667</v>
      </c>
      <c r="T10" s="11" t="n">
        <v>16667</v>
      </c>
    </row>
    <row r="11" customFormat="false" ht="15" hidden="false" customHeight="true" outlineLevel="0" collapsed="false">
      <c r="B11" s="10" t="s">
        <v>142</v>
      </c>
      <c r="C11" s="11" t="n">
        <v>23333</v>
      </c>
      <c r="D11" s="11" t="n">
        <v>23333</v>
      </c>
      <c r="E11" s="11" t="n">
        <v>23333</v>
      </c>
      <c r="F11" s="11" t="n">
        <v>23333</v>
      </c>
      <c r="G11" s="11" t="n">
        <v>23333</v>
      </c>
      <c r="H11" s="11" t="n">
        <v>23333</v>
      </c>
      <c r="I11" s="11" t="n">
        <v>23333</v>
      </c>
      <c r="J11" s="11" t="n">
        <v>23333</v>
      </c>
      <c r="K11" s="11" t="n">
        <v>23333</v>
      </c>
      <c r="L11" s="11" t="n">
        <v>23333</v>
      </c>
      <c r="M11" s="11" t="n">
        <v>23333</v>
      </c>
      <c r="N11" s="11" t="n">
        <v>23333</v>
      </c>
      <c r="O11" s="11" t="n">
        <v>23333</v>
      </c>
      <c r="P11" s="11" t="n">
        <v>23333</v>
      </c>
      <c r="Q11" s="11" t="n">
        <v>23333</v>
      </c>
      <c r="R11" s="11" t="n">
        <v>23333</v>
      </c>
      <c r="S11" s="11" t="n">
        <v>23333</v>
      </c>
      <c r="T11" s="11" t="n">
        <v>23333</v>
      </c>
    </row>
    <row r="12" customFormat="false" ht="15" hidden="false" customHeight="true" outlineLevel="0" collapsed="false">
      <c r="B12" s="10" t="s">
        <v>143</v>
      </c>
      <c r="C12" s="11" t="n">
        <v>14000</v>
      </c>
      <c r="D12" s="11" t="n">
        <v>14000</v>
      </c>
      <c r="E12" s="11" t="n">
        <v>14000</v>
      </c>
      <c r="F12" s="11" t="n">
        <v>14000</v>
      </c>
      <c r="G12" s="11" t="n">
        <v>14000</v>
      </c>
      <c r="H12" s="11" t="n">
        <v>14000</v>
      </c>
      <c r="I12" s="11" t="n">
        <v>14000</v>
      </c>
      <c r="J12" s="11" t="n">
        <v>14000</v>
      </c>
      <c r="K12" s="11" t="n">
        <v>14000</v>
      </c>
      <c r="L12" s="11" t="n">
        <v>14000</v>
      </c>
      <c r="M12" s="11" t="n">
        <v>14000</v>
      </c>
      <c r="N12" s="11" t="n">
        <v>14000</v>
      </c>
      <c r="O12" s="11" t="n">
        <v>14000</v>
      </c>
      <c r="P12" s="11" t="n">
        <v>14000</v>
      </c>
      <c r="Q12" s="11" t="n">
        <v>14000</v>
      </c>
      <c r="R12" s="11" t="n">
        <v>14000</v>
      </c>
      <c r="S12" s="11" t="n">
        <v>14000</v>
      </c>
      <c r="T12" s="11" t="n">
        <v>14000</v>
      </c>
    </row>
    <row r="13" customFormat="false" ht="15" hidden="false" customHeight="true" outlineLevel="0" collapsed="false">
      <c r="B13" s="10" t="s">
        <v>144</v>
      </c>
      <c r="C13" s="11" t="n">
        <v>34000</v>
      </c>
      <c r="D13" s="11" t="n">
        <v>34000</v>
      </c>
      <c r="E13" s="11" t="n">
        <v>34000</v>
      </c>
      <c r="F13" s="11" t="n">
        <v>34000</v>
      </c>
      <c r="G13" s="11" t="n">
        <v>34000</v>
      </c>
      <c r="H13" s="11" t="n">
        <v>34000</v>
      </c>
      <c r="I13" s="11" t="n">
        <v>34000</v>
      </c>
      <c r="J13" s="11" t="n">
        <v>34000</v>
      </c>
      <c r="K13" s="11" t="n">
        <v>34000</v>
      </c>
      <c r="L13" s="11" t="n">
        <v>34000</v>
      </c>
      <c r="M13" s="11" t="n">
        <v>34000</v>
      </c>
      <c r="N13" s="11" t="n">
        <v>34000</v>
      </c>
      <c r="O13" s="11" t="n">
        <v>34000</v>
      </c>
      <c r="P13" s="11" t="n">
        <v>34000</v>
      </c>
      <c r="Q13" s="11" t="n">
        <v>34000</v>
      </c>
      <c r="R13" s="11" t="n">
        <v>34000</v>
      </c>
      <c r="S13" s="11" t="n">
        <v>34000</v>
      </c>
      <c r="T13" s="11" t="n">
        <v>34000</v>
      </c>
    </row>
    <row r="14" customFormat="false" ht="15" hidden="false" customHeight="true" outlineLevel="0" collapsed="false">
      <c r="B14" s="10" t="s">
        <v>24</v>
      </c>
      <c r="C14" s="19" t="n">
        <v>0</v>
      </c>
      <c r="D14" s="19" t="n">
        <v>0</v>
      </c>
      <c r="E14" s="11" t="n">
        <v>8000</v>
      </c>
      <c r="F14" s="11" t="n">
        <v>8000</v>
      </c>
      <c r="G14" s="11" t="n">
        <v>14000</v>
      </c>
      <c r="H14" s="11" t="n">
        <v>14000</v>
      </c>
      <c r="I14" s="11" t="n">
        <v>14000</v>
      </c>
      <c r="J14" s="11" t="n">
        <v>19000</v>
      </c>
      <c r="K14" s="11" t="n">
        <v>19000</v>
      </c>
      <c r="L14" s="11" t="n">
        <v>19000</v>
      </c>
      <c r="M14" s="11" t="n">
        <v>19000</v>
      </c>
      <c r="N14" s="11" t="n">
        <v>19000</v>
      </c>
      <c r="O14" s="11" t="n">
        <v>19000</v>
      </c>
      <c r="P14" s="11" t="n">
        <v>19000</v>
      </c>
      <c r="Q14" s="11" t="n">
        <v>19000</v>
      </c>
      <c r="R14" s="11" t="n">
        <v>19000</v>
      </c>
      <c r="S14" s="11" t="n">
        <v>19000</v>
      </c>
      <c r="T14" s="11" t="n">
        <v>19000</v>
      </c>
    </row>
    <row r="15" customFormat="false" ht="15" hidden="false" customHeight="true" outlineLevel="0" collapsed="false">
      <c r="B15" s="10"/>
      <c r="C15" s="27"/>
      <c r="D15" s="27"/>
      <c r="E15" s="27"/>
      <c r="F15" s="27"/>
      <c r="G15" s="27"/>
      <c r="H15" s="27"/>
      <c r="I15" s="27"/>
      <c r="J15" s="27"/>
      <c r="K15" s="27"/>
      <c r="L15" s="27"/>
      <c r="M15" s="27"/>
      <c r="N15" s="27"/>
      <c r="O15" s="27"/>
      <c r="P15" s="27"/>
      <c r="Q15" s="27"/>
      <c r="R15" s="27"/>
      <c r="S15" s="27"/>
      <c r="T15" s="27"/>
    </row>
    <row r="16" customFormat="false" ht="15" hidden="false" customHeight="true" outlineLevel="0" collapsed="false">
      <c r="B16" s="10" t="s">
        <v>145</v>
      </c>
      <c r="C16" s="11" t="n">
        <v>8000</v>
      </c>
      <c r="D16" s="11" t="n">
        <v>8000</v>
      </c>
      <c r="E16" s="11" t="n">
        <v>8000</v>
      </c>
      <c r="F16" s="11" t="n">
        <v>14000</v>
      </c>
      <c r="G16" s="11" t="n">
        <v>14000</v>
      </c>
      <c r="H16" s="11" t="n">
        <v>14000</v>
      </c>
      <c r="I16" s="11" t="n">
        <v>14000</v>
      </c>
      <c r="J16" s="11" t="n">
        <v>14000</v>
      </c>
      <c r="K16" s="11" t="n">
        <v>14000</v>
      </c>
      <c r="L16" s="11" t="n">
        <v>9000</v>
      </c>
      <c r="M16" s="11" t="n">
        <v>9000</v>
      </c>
      <c r="N16" s="11" t="n">
        <v>9000</v>
      </c>
      <c r="O16" s="11" t="n">
        <v>9000</v>
      </c>
      <c r="P16" s="11" t="n">
        <v>9000</v>
      </c>
      <c r="Q16" s="11" t="n">
        <v>9000</v>
      </c>
      <c r="R16" s="11" t="n">
        <v>9000</v>
      </c>
      <c r="S16" s="11" t="n">
        <v>9000</v>
      </c>
      <c r="T16" s="11" t="n">
        <v>9000</v>
      </c>
    </row>
    <row r="17" customFormat="false" ht="15" hidden="false" customHeight="true" outlineLevel="0" collapsed="false">
      <c r="B17" s="16" t="s">
        <v>146</v>
      </c>
      <c r="C17" s="17" t="n">
        <f aca="false">SUM(C6:C16)</f>
        <v>166417</v>
      </c>
      <c r="D17" s="17" t="n">
        <f aca="false">SUM(D6:D16)</f>
        <v>166417</v>
      </c>
      <c r="E17" s="17" t="n">
        <f aca="false">SUM(E6:E16)</f>
        <v>174417</v>
      </c>
      <c r="F17" s="17" t="n">
        <f aca="false">SUM(F6:F16)</f>
        <v>207084</v>
      </c>
      <c r="G17" s="17" t="n">
        <f aca="false">SUM(G6:G16)</f>
        <v>213084</v>
      </c>
      <c r="H17" s="17" t="n">
        <f aca="false">SUM(H6:H16)</f>
        <v>213084</v>
      </c>
      <c r="I17" s="17" t="n">
        <f aca="false">SUM(I6:I16)</f>
        <v>213084</v>
      </c>
      <c r="J17" s="17" t="n">
        <f aca="false">SUM(J6:J16)</f>
        <v>218084</v>
      </c>
      <c r="K17" s="17" t="n">
        <f aca="false">SUM(K6:K16)</f>
        <v>218084</v>
      </c>
      <c r="L17" s="17" t="n">
        <f aca="false">SUM(L6:L16)</f>
        <v>213084</v>
      </c>
      <c r="M17" s="17" t="n">
        <f aca="false">SUM(M6:M16)</f>
        <v>213084</v>
      </c>
      <c r="N17" s="17" t="n">
        <f aca="false">SUM(N6:N16)</f>
        <v>213084</v>
      </c>
      <c r="O17" s="17" t="n">
        <f aca="false">SUM(O6:O16)</f>
        <v>213084</v>
      </c>
      <c r="P17" s="17" t="n">
        <f aca="false">SUM(P6:P16)</f>
        <v>213084</v>
      </c>
      <c r="Q17" s="17" t="n">
        <f aca="false">SUM(Q6:Q16)</f>
        <v>213084</v>
      </c>
      <c r="R17" s="17" t="n">
        <f aca="false">SUM(R6:R16)</f>
        <v>213084</v>
      </c>
      <c r="S17" s="17" t="n">
        <f aca="false">SUM(S6:S16)</f>
        <v>213084</v>
      </c>
      <c r="T17" s="17" t="n">
        <f aca="false">SUM(T6:T16)</f>
        <v>213084</v>
      </c>
    </row>
    <row r="18" customFormat="false" ht="15" hidden="false" customHeight="true" outlineLevel="0" collapsed="false">
      <c r="B18" s="6" t="s">
        <v>147</v>
      </c>
      <c r="C18" s="14" t="n">
        <f aca="false">3750000-C17</f>
        <v>3583583</v>
      </c>
      <c r="D18" s="14" t="n">
        <f aca="false">C18-D17</f>
        <v>3417166</v>
      </c>
      <c r="E18" s="14" t="n">
        <f aca="false">D18-E17</f>
        <v>3242749</v>
      </c>
      <c r="F18" s="14" t="n">
        <f aca="false">E18-F17</f>
        <v>3035665</v>
      </c>
      <c r="G18" s="14" t="n">
        <f aca="false">F18-G17</f>
        <v>2822581</v>
      </c>
      <c r="H18" s="14" t="n">
        <f aca="false">G18-H17</f>
        <v>2609497</v>
      </c>
      <c r="I18" s="14" t="n">
        <f aca="false">H18-I17</f>
        <v>2396413</v>
      </c>
      <c r="J18" s="14" t="n">
        <f aca="false">I18-J17</f>
        <v>2178329</v>
      </c>
      <c r="K18" s="14" t="n">
        <f aca="false">J18-K17</f>
        <v>1960245</v>
      </c>
      <c r="L18" s="14" t="n">
        <f aca="false">K18-L17</f>
        <v>1747161</v>
      </c>
      <c r="M18" s="14" t="n">
        <f aca="false">L18-M17</f>
        <v>1534077</v>
      </c>
      <c r="N18" s="14" t="n">
        <f aca="false">M18-N17</f>
        <v>1320993</v>
      </c>
      <c r="O18" s="14" t="n">
        <f aca="false">N18-O17</f>
        <v>1107909</v>
      </c>
      <c r="P18" s="14" t="n">
        <f aca="false">O18-P17</f>
        <v>894825</v>
      </c>
      <c r="Q18" s="14" t="n">
        <f aca="false">P18-Q17</f>
        <v>681741</v>
      </c>
      <c r="R18" s="14" t="n">
        <f aca="false">Q18-R17</f>
        <v>468657</v>
      </c>
      <c r="S18" s="14" t="n">
        <f aca="false">R18-S17</f>
        <v>255573</v>
      </c>
      <c r="T18" s="14" t="n">
        <f aca="false">S18-T17</f>
        <v>42489</v>
      </c>
    </row>
    <row r="20" customFormat="false" ht="15" hidden="false" customHeight="true" outlineLevel="0" collapsed="false"/>
    <row r="21" customFormat="false" ht="15" hidden="false" customHeight="true" outlineLevel="0" collapsed="false">
      <c r="B21" s="13"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2026-05-29T23:40:10Z</dcterms:created>
  <dc:creator>openpyxl</dc:creator>
  <dc:description/>
  <dc:language>en-US</dc:language>
  <cp:lastModifiedBy/>
  <dcterms:modified xsi:type="dcterms:W3CDTF">2026-06-02T01:05:17Z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